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gral SC" sheetId="1" r:id="rId4"/>
    <sheet state="visible" name="Hoja 10" sheetId="2" r:id="rId5"/>
  </sheets>
  <definedNames>
    <definedName hidden="1" localSheetId="0" name="_xlnm._FilterDatabase">'Integral SC'!$A$3:$M$407</definedName>
  </definedNames>
  <calcPr/>
  <extLst>
    <ext uri="GoogleSheetsCustomDataVersion2">
      <go:sheetsCustomData xmlns:go="http://customooxmlschemas.google.com/" r:id="rId6" roundtripDataChecksum="Nq3rJgkl9mt23CUIChSm5eLXma4vlvo85ZHw5VFIlqE="/>
    </ext>
  </extLst>
</workbook>
</file>

<file path=xl/sharedStrings.xml><?xml version="1.0" encoding="utf-8"?>
<sst xmlns="http://schemas.openxmlformats.org/spreadsheetml/2006/main" count="2236" uniqueCount="1031">
  <si>
    <t>Bambi 5</t>
  </si>
  <si>
    <t>Base de Datos Estudiantes Labor Social desde 2016 al 30 agosto de 2025</t>
  </si>
  <si>
    <t>Semana 22/09 al 28/09</t>
  </si>
  <si>
    <t>SABADO</t>
  </si>
  <si>
    <t xml:space="preserve">Año </t>
  </si>
  <si>
    <t>DOMINGO</t>
  </si>
  <si>
    <t>Estatus</t>
  </si>
  <si>
    <t>Nombre y Apellido</t>
  </si>
  <si>
    <t>Cédula de Identidad</t>
  </si>
  <si>
    <t>Email</t>
  </si>
  <si>
    <t>Teléfono</t>
  </si>
  <si>
    <t>Fecha de Inducción</t>
  </si>
  <si>
    <t>Colegio / Instituto</t>
  </si>
  <si>
    <t>Carrera</t>
  </si>
  <si>
    <t>Área</t>
  </si>
  <si>
    <t>Fecha de Inicio</t>
  </si>
  <si>
    <t>Fecha de Culminación</t>
  </si>
  <si>
    <t>Observaciones</t>
  </si>
  <si>
    <t>Otro</t>
  </si>
  <si>
    <t>AM</t>
  </si>
  <si>
    <t>V. Omaira Marcano</t>
  </si>
  <si>
    <t>Culminó</t>
  </si>
  <si>
    <t>Apoyo General</t>
  </si>
  <si>
    <t>Dayana Dato</t>
  </si>
  <si>
    <t>V. Sergio Uzcategui</t>
  </si>
  <si>
    <t>gabrielazaglieri@gmail.com</t>
  </si>
  <si>
    <t>PM</t>
  </si>
  <si>
    <t>Semana 29/09 al 02/10</t>
  </si>
  <si>
    <t>LUNES</t>
  </si>
  <si>
    <t>MARTES</t>
  </si>
  <si>
    <t>MIERCOLES</t>
  </si>
  <si>
    <t>JUEVES</t>
  </si>
  <si>
    <t>VIERNES</t>
  </si>
  <si>
    <t>04142045047 / 04242808909</t>
  </si>
  <si>
    <t>Asoc Ser y Fe</t>
  </si>
  <si>
    <t>SC UCV Nicole Villegas</t>
  </si>
  <si>
    <t>Verificar</t>
  </si>
  <si>
    <t>V. Paula Pacheco</t>
  </si>
  <si>
    <t>Deigreg Guarepe</t>
  </si>
  <si>
    <t>SC UCAB Ainhoa Hurtado</t>
  </si>
  <si>
    <t>SC IDLM Victoria Clemente</t>
  </si>
  <si>
    <t>SC IDLM Paola Bedoya</t>
  </si>
  <si>
    <t>V. Zulay Guaramato</t>
  </si>
  <si>
    <t xml:space="preserve">V. Marisabela Erminy </t>
  </si>
  <si>
    <t xml:space="preserve">V. Nadeska Collins </t>
  </si>
  <si>
    <t>4125438487 / 0412 8281518</t>
  </si>
  <si>
    <t>Colegio Ceferino Alegría</t>
  </si>
  <si>
    <t>SC UCV Alejandra Urbaneja</t>
  </si>
  <si>
    <t>Al iniciar LS informó que realizaría 120 horas en Abril manifestó que culminaría con las horas realizadas hasta la fecha</t>
  </si>
  <si>
    <t xml:space="preserve">No tiene expediente porque el proceso no fue sistematizado </t>
  </si>
  <si>
    <t>V. Laura Goicoechea</t>
  </si>
  <si>
    <t>Nathaly Castillo</t>
  </si>
  <si>
    <t>P. CURMH Joice Peña</t>
  </si>
  <si>
    <t>Pasantías Fonoaudiología</t>
  </si>
  <si>
    <t>Nathasha Castillo</t>
  </si>
  <si>
    <t>P.CURMH Diego Ruiz</t>
  </si>
  <si>
    <t>Nayerlin Moreno</t>
  </si>
  <si>
    <t>Pasantías Fisioterapia</t>
  </si>
  <si>
    <t>Susana Peraza</t>
  </si>
  <si>
    <t>P.CURMH Michael Rodriguez</t>
  </si>
  <si>
    <t>SC IDLM Oriamna Silva</t>
  </si>
  <si>
    <t>Au Pair Gabriella Mata</t>
  </si>
  <si>
    <t>Viviana Olaya</t>
  </si>
  <si>
    <t>V. Marisela Cánepa</t>
  </si>
  <si>
    <t>V. Lorena Tovar</t>
  </si>
  <si>
    <t>V. Samantha Barrios (inicio)</t>
  </si>
  <si>
    <t>Karen Quizhpi</t>
  </si>
  <si>
    <t>SC UCAB Daniela Diaz</t>
  </si>
  <si>
    <t>Nuestra Señora de la Consolación</t>
  </si>
  <si>
    <t>constancia enviada por correo</t>
  </si>
  <si>
    <t xml:space="preserve">Enlace </t>
  </si>
  <si>
    <t>María Fernanda Martinez</t>
  </si>
  <si>
    <t>Semana 28/09 al 04/10</t>
  </si>
  <si>
    <t>04143342048 / 04142635503 / 04241034287</t>
  </si>
  <si>
    <t>Sharon Nova</t>
  </si>
  <si>
    <t>Sofia Barriteau</t>
  </si>
  <si>
    <t>SC IDLM Anyely Rodriguez</t>
  </si>
  <si>
    <t>Valentina Varani</t>
  </si>
  <si>
    <t>V. Stefania Cavalini</t>
  </si>
  <si>
    <t xml:space="preserve">V. Alejandra Zingg (Sebastian) </t>
  </si>
  <si>
    <t>V. Bárbara Peña</t>
  </si>
  <si>
    <t>V. María D´Alto</t>
  </si>
  <si>
    <t>Apoyo Pedagógico</t>
  </si>
  <si>
    <t>04166058480/ 04242197554</t>
  </si>
  <si>
    <t>constancia enviada por correo (Falta Planilla.)</t>
  </si>
  <si>
    <t>V. Ebhie Calatayud</t>
  </si>
  <si>
    <t>Alessandra Russo</t>
  </si>
  <si>
    <t>V.Karina Stohr (Nohemí y María Alejo)</t>
  </si>
  <si>
    <t>V. Kryssmar Landaeta</t>
  </si>
  <si>
    <t>V. Eylin Millán</t>
  </si>
  <si>
    <t>V. María Isabel Bernández</t>
  </si>
  <si>
    <t>V. Lorens Leal (Pedagogía)</t>
  </si>
  <si>
    <t>Humboldt</t>
  </si>
  <si>
    <t>V.Ma. Mercedes Rodriguez</t>
  </si>
  <si>
    <t xml:space="preserve">V. María Eugenia Sánchez (Branilis y Dilinyer)  </t>
  </si>
  <si>
    <t>Verificar estatus actual</t>
  </si>
  <si>
    <t>Ana Blanco</t>
  </si>
  <si>
    <t>04166349987</t>
  </si>
  <si>
    <t>(Sin Planilla)</t>
  </si>
  <si>
    <t>SC UCAB Salomé Alburjas</t>
  </si>
  <si>
    <t>Carlos Pabon</t>
  </si>
  <si>
    <t>04262536015</t>
  </si>
  <si>
    <t>Daniel Jose Torres Castro</t>
  </si>
  <si>
    <t>Bambi 3</t>
  </si>
  <si>
    <t>Semana 28/09 al 02/10</t>
  </si>
  <si>
    <t>04241515738</t>
  </si>
  <si>
    <t>Hans Grullon</t>
  </si>
  <si>
    <t xml:space="preserve">SC UCAB Carmen Hernández </t>
  </si>
  <si>
    <t>Proyectos</t>
  </si>
  <si>
    <t>04242121240</t>
  </si>
  <si>
    <t>SC UCAB Jesús Sayago</t>
  </si>
  <si>
    <t>Ornella Quintero</t>
  </si>
  <si>
    <t>04241271160</t>
  </si>
  <si>
    <t>Santiago Cona</t>
  </si>
  <si>
    <t>04122867227</t>
  </si>
  <si>
    <t>Daniel Torres</t>
  </si>
  <si>
    <t>Coord. Educ. arreglo depósito</t>
  </si>
  <si>
    <t>SC UCAB Luis Paez</t>
  </si>
  <si>
    <t xml:space="preserve">Culminó (Su mama se acerco a a bambi 3 con las horas firmadas por los docentes.  </t>
  </si>
  <si>
    <t>Diego Tiberi</t>
  </si>
  <si>
    <t>04242518622</t>
  </si>
  <si>
    <t>Culminaron sus horas remodelando las bancas de B3</t>
  </si>
  <si>
    <t>Erik Moskus</t>
  </si>
  <si>
    <t>04167028714</t>
  </si>
  <si>
    <t>Expediente eliminado, solo tiene un reconocimiento de Hogar Bambi</t>
  </si>
  <si>
    <t>Pedro Mayz Barreto</t>
  </si>
  <si>
    <t>04129208234</t>
  </si>
  <si>
    <t>Jeckson Zapata</t>
  </si>
  <si>
    <t>INCE</t>
  </si>
  <si>
    <t>Wilson Ramirez</t>
  </si>
  <si>
    <t>Luis Franco</t>
  </si>
  <si>
    <t>Jhoseanyeli Ortega</t>
  </si>
  <si>
    <t>Steven Mundarain</t>
  </si>
  <si>
    <t>Pedro Hernandez</t>
  </si>
  <si>
    <t>04268207606 / 02124715857</t>
  </si>
  <si>
    <t>Jeremy Piña</t>
  </si>
  <si>
    <t>25,037.092</t>
  </si>
  <si>
    <t>Dayana Diaz</t>
  </si>
  <si>
    <t>Enderlyn Vera</t>
  </si>
  <si>
    <t>Aracelys Fermin</t>
  </si>
  <si>
    <t>Naiser Chacon</t>
  </si>
  <si>
    <t>Mack Torrealba</t>
  </si>
  <si>
    <t>Moises Galves</t>
  </si>
  <si>
    <t>Ender Fernandez</t>
  </si>
  <si>
    <t>Crisbely Mendez</t>
  </si>
  <si>
    <t>Deysi Hernandez</t>
  </si>
  <si>
    <t>Rojas Yeidy</t>
  </si>
  <si>
    <t>Dixon Morales</t>
  </si>
  <si>
    <t>Kelvin Ramirez</t>
  </si>
  <si>
    <t>Franklin Rodil</t>
  </si>
  <si>
    <t>Alejandra Morales</t>
  </si>
  <si>
    <t>Inmaculada Concepción</t>
  </si>
  <si>
    <t>Andrea Martinez</t>
  </si>
  <si>
    <t>04168329011 / 04140141965 / 02127308670</t>
  </si>
  <si>
    <t>Ashley Guillen</t>
  </si>
  <si>
    <t>04125508029 / 02127313640 / 04265181078</t>
  </si>
  <si>
    <t>Cristina Buitriago</t>
  </si>
  <si>
    <t>4241773783 / 02125737374/ 04263161951</t>
  </si>
  <si>
    <t>Genesis Galan</t>
  </si>
  <si>
    <t>Giuliana Diaz</t>
  </si>
  <si>
    <t>Oriana Perez</t>
  </si>
  <si>
    <t>Adriana Calderon</t>
  </si>
  <si>
    <t>La Salle</t>
  </si>
  <si>
    <t>Aitana Saenz</t>
  </si>
  <si>
    <t>Alberto Ceci</t>
  </si>
  <si>
    <t>Se envio la constancia por correo</t>
  </si>
  <si>
    <t>Alejandro Pose</t>
  </si>
  <si>
    <t>Cesar Ortega</t>
  </si>
  <si>
    <t>04123633697 / 04127076457</t>
  </si>
  <si>
    <t>David Mendez</t>
  </si>
  <si>
    <t>04241761577</t>
  </si>
  <si>
    <t>Eimy Chirinos</t>
  </si>
  <si>
    <t>04241501195/ 04142242005/ 02125511030</t>
  </si>
  <si>
    <t>Juan Duarte</t>
  </si>
  <si>
    <t>Maikel Chacon</t>
  </si>
  <si>
    <t>04142796783 / 04142242005 / 02125511030</t>
  </si>
  <si>
    <t>Maria Duarte</t>
  </si>
  <si>
    <t>Nirvana Rondon</t>
  </si>
  <si>
    <t>Roberto Alvarez</t>
  </si>
  <si>
    <t>Rodrigo Casaltorres</t>
  </si>
  <si>
    <t>Solo tiene la Ficha de identificacion (sin foto,ni cedula)</t>
  </si>
  <si>
    <t>Marian Carias Garcia</t>
  </si>
  <si>
    <t>Alejandra Bello</t>
  </si>
  <si>
    <t>Mater Salvatoris</t>
  </si>
  <si>
    <t>Alejandra Sifontes</t>
  </si>
  <si>
    <t>Andrea De Abreu</t>
  </si>
  <si>
    <t>Andrea Zubiur</t>
  </si>
  <si>
    <t>Andreina Garrido</t>
  </si>
  <si>
    <t>Autana Grillet</t>
  </si>
  <si>
    <t>Clamentina Gutierrez</t>
  </si>
  <si>
    <t>Corina Olivares</t>
  </si>
  <si>
    <t xml:space="preserve">Daniela Divasson </t>
  </si>
  <si>
    <t xml:space="preserve">Daniella Haon </t>
  </si>
  <si>
    <t>Eugenia Branger</t>
  </si>
  <si>
    <t>Fatima De Abreu</t>
  </si>
  <si>
    <t>Gabriela Tappata</t>
  </si>
  <si>
    <t>Isabella Biaggi</t>
  </si>
  <si>
    <t>Isabella Diaz</t>
  </si>
  <si>
    <t>Loredana Feliciani</t>
  </si>
  <si>
    <t>Paola Gonzalez</t>
  </si>
  <si>
    <t>Sabrina Bermudez</t>
  </si>
  <si>
    <t>Sara Salvatierra</t>
  </si>
  <si>
    <t>Valentina Tirado</t>
  </si>
  <si>
    <t>Veronica Padilla</t>
  </si>
  <si>
    <t>Alejandra Borges</t>
  </si>
  <si>
    <t>Se le envio contancia de culminacion por correo (19/06/17)</t>
  </si>
  <si>
    <t>Andrea Moncada</t>
  </si>
  <si>
    <t>Isabella Marquez</t>
  </si>
  <si>
    <t>Mariana Sipala</t>
  </si>
  <si>
    <t>Piera Leonarduzzi</t>
  </si>
  <si>
    <t>Xamantha Perez</t>
  </si>
  <si>
    <t>Isabel Falcon Perez</t>
  </si>
  <si>
    <t>Merici</t>
  </si>
  <si>
    <t>No hay ficha de Identificacion</t>
  </si>
  <si>
    <t>Carmen Victoria Muñiz</t>
  </si>
  <si>
    <t>Nazaret</t>
  </si>
  <si>
    <t>Edgar Mijares</t>
  </si>
  <si>
    <t>No hay cartade finalizacion archivada</t>
  </si>
  <si>
    <t>Kemberson Lopez</t>
  </si>
  <si>
    <t>04142450965/ 04143031607</t>
  </si>
  <si>
    <t>Victor Guete</t>
  </si>
  <si>
    <t>Yariani Mijares</t>
  </si>
  <si>
    <t>Carlos Montoya</t>
  </si>
  <si>
    <t xml:space="preserve"> 0412 5833360</t>
  </si>
  <si>
    <t xml:space="preserve">hablé con la mama y me informó que si habia  terminado </t>
  </si>
  <si>
    <t>Mariannis Gonzalez</t>
  </si>
  <si>
    <t>0426 2046286</t>
  </si>
  <si>
    <t>Sarah Franca</t>
  </si>
  <si>
    <t>Katherine Rodriguez</t>
  </si>
  <si>
    <t>Nuestra Señora del Carmen</t>
  </si>
  <si>
    <t>En la ficha no hay Copia de la cedula,ni foto</t>
  </si>
  <si>
    <t>Sofia Pestana</t>
  </si>
  <si>
    <t>Wilkary Briceño</t>
  </si>
  <si>
    <t>Christopher Colmenarez</t>
  </si>
  <si>
    <t>Santiago de León de Caracas</t>
  </si>
  <si>
    <t>Fiorella Guzzo</t>
  </si>
  <si>
    <t xml:space="preserve"> lucciolamariadela@gmail.com</t>
  </si>
  <si>
    <t>Luis Nieves</t>
  </si>
  <si>
    <t>Mariadela Lucciola</t>
  </si>
  <si>
    <t>Mayoska Silva</t>
  </si>
  <si>
    <t>Oriana Cardenas</t>
  </si>
  <si>
    <t>Sofia Savoca</t>
  </si>
  <si>
    <t>Ana Mata</t>
  </si>
  <si>
    <t>Teresiano El Paraíso</t>
  </si>
  <si>
    <t>Akyanaid Gerra</t>
  </si>
  <si>
    <t>lady13biebersforever@gmail.com</t>
  </si>
  <si>
    <t>CIAL</t>
  </si>
  <si>
    <t>No tiene expediente</t>
  </si>
  <si>
    <t>Darianna Ortiz</t>
  </si>
  <si>
    <t>darianol.110426@gmail.com</t>
  </si>
  <si>
    <t>Posee expediente con constancia de horas y asistencia</t>
  </si>
  <si>
    <t xml:space="preserve">Naileth Guaman </t>
  </si>
  <si>
    <t>naile-2@hotmail.com</t>
  </si>
  <si>
    <t>Yosmarli Mendoza</t>
  </si>
  <si>
    <t>yosmarlisinai24@gmail.com</t>
  </si>
  <si>
    <t xml:space="preserve">Catherine Porciello </t>
  </si>
  <si>
    <t>04143212239 / 04142629501</t>
  </si>
  <si>
    <t>Falta carta de Culminacion</t>
  </si>
  <si>
    <t xml:space="preserve">Marialejandra Contreras </t>
  </si>
  <si>
    <t>Richel Valera</t>
  </si>
  <si>
    <t>En Proceso</t>
  </si>
  <si>
    <t>Daniela Perez Brugada</t>
  </si>
  <si>
    <t>Cristo Rey</t>
  </si>
  <si>
    <t>Se le llamo para verificar si culminara sus horas de Labor Social, se le enviara un correo 16/10/17</t>
  </si>
  <si>
    <t>Posee documentación</t>
  </si>
  <si>
    <t>Leonor Gonzalez</t>
  </si>
  <si>
    <t xml:space="preserve">Se le llamo e indico que no culminaria su Labor Social </t>
  </si>
  <si>
    <t>Miranda Banchs</t>
  </si>
  <si>
    <t>Maria Veronica Marquez</t>
  </si>
  <si>
    <t>Emil Friedman</t>
  </si>
  <si>
    <t>No tiene que cumplir las 60 horas al iniciar clases continua en el colegio</t>
  </si>
  <si>
    <t xml:space="preserve">Mariana Paquin </t>
  </si>
  <si>
    <t xml:space="preserve">Se le llamo poara saber si culminaria su labor Social no responde se le volvera a llamar </t>
  </si>
  <si>
    <t>Posee expediente. Tiene planilla y constancia de horas</t>
  </si>
  <si>
    <t>Joraitzi Ramirez</t>
  </si>
  <si>
    <t>joraitziramirezve@gmail.com</t>
  </si>
  <si>
    <t>Formacion Integral 12 de Febrero</t>
  </si>
  <si>
    <t>desea continuar como voluntaria luego de las vacvaciones decembrinas de comunicara con nosotros para acordar un cronograma</t>
  </si>
  <si>
    <t>Jalee Arias</t>
  </si>
  <si>
    <t>INVECAPI</t>
  </si>
  <si>
    <t>Keneth José Ramos Arrieta</t>
  </si>
  <si>
    <t>0424 2320774</t>
  </si>
  <si>
    <t>Juan Pablo II</t>
  </si>
  <si>
    <t>Andrea Hernández</t>
  </si>
  <si>
    <t>0416 6221529</t>
  </si>
  <si>
    <t>Christopher Quijada</t>
  </si>
  <si>
    <t>04126135671</t>
  </si>
  <si>
    <t>Francisco Manuel Jiménez Biternas</t>
  </si>
  <si>
    <t xml:space="preserve"> 0424-1455429</t>
  </si>
  <si>
    <t>Manuel Dos Santos</t>
  </si>
  <si>
    <t>Leer Observaciones</t>
  </si>
  <si>
    <t>Santiago Rafael Terrero García</t>
  </si>
  <si>
    <t>0426 6131528</t>
  </si>
  <si>
    <t>llamar nuevamente la semana proxima ya que el desea continuar debe verificar el el colegio si lo puede hacer durante vacaciones 06/07/17</t>
  </si>
  <si>
    <t>Stefano Bitetto</t>
  </si>
  <si>
    <t>0412 3859007</t>
  </si>
  <si>
    <t>Ainoa Aramburu</t>
  </si>
  <si>
    <t>Alexandra Estrada</t>
  </si>
  <si>
    <t>laleestrada9@gmail.com</t>
  </si>
  <si>
    <t>Apoyo temporal por suspencion de clases 16 Horas</t>
  </si>
  <si>
    <t>Se retiró</t>
  </si>
  <si>
    <t>Andrea Gomez</t>
  </si>
  <si>
    <t>andreagomezalfaro@hotmail.com</t>
  </si>
  <si>
    <t>Envió correo informando que no podía seguir apoyándonos este 2017. que nos contactará para hacerlo en Marzo 2018</t>
  </si>
  <si>
    <t>Angela Volpe</t>
  </si>
  <si>
    <t>angelavolpec3009@gmail.com</t>
  </si>
  <si>
    <t>Realizo Economias de Fichas</t>
  </si>
  <si>
    <t>Carla De Sousa</t>
  </si>
  <si>
    <t>No asisitio por el brote de Lechina</t>
  </si>
  <si>
    <t>Lucia Peceño</t>
  </si>
  <si>
    <t>Bambi esta a la espera de que realice un solicitud por correo</t>
  </si>
  <si>
    <t>Se Retiró</t>
  </si>
  <si>
    <t>Maria Carrillo</t>
  </si>
  <si>
    <t xml:space="preserve">Solo le faltan 10 horas </t>
  </si>
  <si>
    <t>Maria Eugenia Livimalli</t>
  </si>
  <si>
    <t>marulivinallibouquet@hotmail.com</t>
  </si>
  <si>
    <t>Mariana Carranzana</t>
  </si>
  <si>
    <t>marianacarranzanamcg@gmail.com</t>
  </si>
  <si>
    <t>04242803324</t>
  </si>
  <si>
    <t>Mariana Dominguez</t>
  </si>
  <si>
    <t>marianamercedesdca@gmail.com</t>
  </si>
  <si>
    <t>Mariana Sardi</t>
  </si>
  <si>
    <t>Monica Petrilli</t>
  </si>
  <si>
    <t>Liseth Angely Carrero</t>
  </si>
  <si>
    <t>Hubo inconvenientes con esta alumna por invitar a las adolescentes a su casa, intercambio telefonos con las adolescentes.</t>
  </si>
  <si>
    <t>Daniela Osuna</t>
  </si>
  <si>
    <t>danielaisabella2002@gmail.com</t>
  </si>
  <si>
    <t>David Mazza</t>
  </si>
  <si>
    <t>davidmazzarequena@gmail.com</t>
  </si>
  <si>
    <t>Natasha Abreu</t>
  </si>
  <si>
    <t>0414 4044276</t>
  </si>
  <si>
    <t>San José de Tarbes</t>
  </si>
  <si>
    <t>Stanley Bermejo</t>
  </si>
  <si>
    <t>Stanley_2610@hotmail.com</t>
  </si>
  <si>
    <t>Santa Teresa</t>
  </si>
  <si>
    <t>Shantall Ramos</t>
  </si>
  <si>
    <t>shantall.healy@hotmail.com</t>
  </si>
  <si>
    <t>Winderly Sarmiento</t>
  </si>
  <si>
    <t>windealex21032gmail.com</t>
  </si>
  <si>
    <t>Alejandro Díaz</t>
  </si>
  <si>
    <t>0426-3052972</t>
  </si>
  <si>
    <t>Teresiano La Castellana</t>
  </si>
  <si>
    <t>Solo hizo 9 horas y luego decidió no seguir por email y en llamada realizada el 19/06/17. No retiró carta de culminación</t>
  </si>
  <si>
    <t>Gabriela Rengifo</t>
  </si>
  <si>
    <t>gabrielandreina11@gmail.com</t>
  </si>
  <si>
    <t>Americo Vespucio</t>
  </si>
  <si>
    <t>Exp eliminado. Solo tenía planilla de Identificación, sin embargo, se evidenció en el cuadro de asistencia su participación en LS</t>
  </si>
  <si>
    <t>Karelis Rojas</t>
  </si>
  <si>
    <t>karolitatokyoghoul@gmail.com</t>
  </si>
  <si>
    <t xml:space="preserve">Alejandra Iglesias Labrador </t>
  </si>
  <si>
    <t>alejandraiglesiaslabrador@yahoo.com</t>
  </si>
  <si>
    <t>Integral el Ávila</t>
  </si>
  <si>
    <t>Domenico D'Ignazi</t>
  </si>
  <si>
    <t>domenicodignazi@gmail.com</t>
  </si>
  <si>
    <t>Los Arcos</t>
  </si>
  <si>
    <t>Realizó de principio de año hasta septiembre 31 Horas. Se le entrego constancia en el mes de Octubre 2018</t>
  </si>
  <si>
    <t xml:space="preserve">Cristina Chacon </t>
  </si>
  <si>
    <t>cristinachacon90@yahoo.com.ve</t>
  </si>
  <si>
    <t>Los Arrayanes II</t>
  </si>
  <si>
    <t xml:space="preserve">Continua como Voluntaria </t>
  </si>
  <si>
    <t>Meriland Ramirez</t>
  </si>
  <si>
    <t>maryland2000@gmail.com</t>
  </si>
  <si>
    <t xml:space="preserve">No continuara su labor social con nosotros </t>
  </si>
  <si>
    <t>Ana Leonor Contreras</t>
  </si>
  <si>
    <t>ana.contreras@tbscaracas.com</t>
  </si>
  <si>
    <t>TBSC</t>
  </si>
  <si>
    <t>Iniciaron en el 2017, pararon en la vacaciones y retomaron el 21 de Octubre. Se le entregó constancia de voluntariado el lunes 19 Noviembre</t>
  </si>
  <si>
    <t>Victoria Ramirez</t>
  </si>
  <si>
    <t>victoria.ramirez@tbscaracas.com</t>
  </si>
  <si>
    <t>Iniciaron en el 2017, pararon en la vacaciones y retomaron el 21 de Octubre</t>
  </si>
  <si>
    <t xml:space="preserve">Meili Guaman </t>
  </si>
  <si>
    <t>meiliguaman@hotmail.com</t>
  </si>
  <si>
    <t xml:space="preserve">Yelitza Guaman </t>
  </si>
  <si>
    <t>yeli-adri@hotmail.com</t>
  </si>
  <si>
    <t>Joselin Perez</t>
  </si>
  <si>
    <t>joselin1804@hotmail.com</t>
  </si>
  <si>
    <t>Excelente apoyo. Destacada. No se le entrgó reconocimiento el día voluntario Bambi porque no podía asistir</t>
  </si>
  <si>
    <t>Paula Iturriza</t>
  </si>
  <si>
    <t>paulaiturriza2012@gmail.com</t>
  </si>
  <si>
    <t>Excelente apoyo. Destacada. Se le entregó reconocimiento el día del Voluntario Bambi 2018</t>
  </si>
  <si>
    <t>Isabella Oramas</t>
  </si>
  <si>
    <t>isaoramas09@gmail.com</t>
  </si>
  <si>
    <t>Alexandra Oramas</t>
  </si>
  <si>
    <t>alexandraoramasrv@gmail.com</t>
  </si>
  <si>
    <t>maripaquin0831@gmail.com</t>
  </si>
  <si>
    <t>Se le entregó reconocimiento el día Voluntario Bambi 2018</t>
  </si>
  <si>
    <t>Alessia Magdalena Stassi Sierich</t>
  </si>
  <si>
    <t>alessiastasi@gmail.com</t>
  </si>
  <si>
    <t>04125547312</t>
  </si>
  <si>
    <t>Entregada</t>
  </si>
  <si>
    <t>Valeria Saglimbeni</t>
  </si>
  <si>
    <t>valvero@live.com</t>
  </si>
  <si>
    <t>Maria Axuliadora</t>
  </si>
  <si>
    <t>Arianna Lemus</t>
  </si>
  <si>
    <t>hormigaamarilla@gmail.com</t>
  </si>
  <si>
    <t>El día que se le entregó la carta de culminación, al finalizar la tarde la estudiante le gritó a una nina de Bambi 3, la Psicologa reportó el incidente, se informó a la Prof del colegio para que verifique el caso. Por parte de Bambi, no hay nada que hacer.</t>
  </si>
  <si>
    <t>Adriana Ferreira</t>
  </si>
  <si>
    <t>adrianaferreira242001@gmail.com</t>
  </si>
  <si>
    <t>Camila De Lima</t>
  </si>
  <si>
    <t>camiladelimag@gmail.com</t>
  </si>
  <si>
    <t>Se quedó como Voluntaria, ha sido reconocida en Fipan 2018 como voluntaria adolescente</t>
  </si>
  <si>
    <t>Cristina Garrido</t>
  </si>
  <si>
    <t>cristinagarrido7@hotmail.com</t>
  </si>
  <si>
    <t>Eugenia Medina</t>
  </si>
  <si>
    <t>eumedinaolmos@gmail.com</t>
  </si>
  <si>
    <t xml:space="preserve">Isabella Pizzolante </t>
  </si>
  <si>
    <t>ipizzolante11@gmail.com</t>
  </si>
  <si>
    <t>Valeria Rondon</t>
  </si>
  <si>
    <t>val-rondon2011@hotmail.com</t>
  </si>
  <si>
    <t>Maria Valeria de Sousa</t>
  </si>
  <si>
    <t>mariavaleria.desousa@gmail.com</t>
  </si>
  <si>
    <t>58 414 241 9747</t>
  </si>
  <si>
    <t>Nathalia Herrera</t>
  </si>
  <si>
    <t xml:space="preserve"> nathaliaHerrera.s@hotmail.com</t>
  </si>
  <si>
    <t>Patricia Zubiaur</t>
  </si>
  <si>
    <t>zubiaurpatricia@gmail.com</t>
  </si>
  <si>
    <t>Alexander Moreno</t>
  </si>
  <si>
    <t>amoretroco@gmail.com</t>
  </si>
  <si>
    <t>Diana Mejias</t>
  </si>
  <si>
    <t>dianabeatrizmejia@hotmail.com</t>
  </si>
  <si>
    <t>Sin Iniciar</t>
  </si>
  <si>
    <t>Fabiana Castañeda</t>
  </si>
  <si>
    <t>fabianalejandragar@gmail.com</t>
  </si>
  <si>
    <t>NO REALIZARA LABOR SOCIAL CON NOSOTROS</t>
  </si>
  <si>
    <t>Henry Franco</t>
  </si>
  <si>
    <t>henryfconquista@hotmail.com</t>
  </si>
  <si>
    <t>Joseph Zambrano</t>
  </si>
  <si>
    <t>joseph69829@gmail.com</t>
  </si>
  <si>
    <t>Francisco Javier Castro</t>
  </si>
  <si>
    <t>francisco castro10@hotmail.com</t>
  </si>
  <si>
    <t xml:space="preserve">Mariany Aragon </t>
  </si>
  <si>
    <t>angeeeellypues@hotmail.com</t>
  </si>
  <si>
    <t>Inconcluso</t>
  </si>
  <si>
    <t>Arianna Valentina Brito Pulido</t>
  </si>
  <si>
    <t>arianna.valentinab@gmail.com</t>
  </si>
  <si>
    <t>Se le realizo llamada telefonica en Julio 2018 no se obtuvo respuesta para el inicio de labor social durante el periodo vacacional</t>
  </si>
  <si>
    <t>No tiene expediente. sin embargo, se evidenció en el cuadro de asistencia su participación en LS</t>
  </si>
  <si>
    <t>Maritery Sanchez</t>
  </si>
  <si>
    <t>mariteri3008@hotmail.com</t>
  </si>
  <si>
    <t>Nuestra Señora del Pilar</t>
  </si>
  <si>
    <t>Hefziba Jiret Barrios Pacheco</t>
  </si>
  <si>
    <t>hejziba_jireh@hotmail.com</t>
  </si>
  <si>
    <t>Barbara Valentina Diaz Silva</t>
  </si>
  <si>
    <t>bebesithamalik@gmail.com</t>
  </si>
  <si>
    <t xml:space="preserve">Orlenys Tarazona </t>
  </si>
  <si>
    <t>lenytarazona@gmail.com</t>
  </si>
  <si>
    <t>Jhanny Sierra</t>
  </si>
  <si>
    <t>jhannysierra@gmail.com</t>
  </si>
  <si>
    <t>Santa Ana</t>
  </si>
  <si>
    <t>Wilmeidry Velasquez</t>
  </si>
  <si>
    <t>wilmwidry@hotmail.com</t>
  </si>
  <si>
    <t>Sabrina Alejandra Yanez Yerena</t>
  </si>
  <si>
    <t>sabrinaalejandrayanezy@gmail.com</t>
  </si>
  <si>
    <t>Santa Monica</t>
  </si>
  <si>
    <t>se le envio correo para que indicara los dias disponibles y aun no se tiene respuesta</t>
  </si>
  <si>
    <t>Santiago Pereira</t>
  </si>
  <si>
    <t>ss.pereira.vzla@gmail.com</t>
  </si>
  <si>
    <t>San Ignacio Loyola</t>
  </si>
  <si>
    <t>Anabella Rodriguez</t>
  </si>
  <si>
    <t>anabellarh27@hotmail.com</t>
  </si>
  <si>
    <t>Isabela Linares</t>
  </si>
  <si>
    <t>isalinaresizturiz@gmail.com</t>
  </si>
  <si>
    <t>Maria Fernanda Pestana</t>
  </si>
  <si>
    <t>mafepestana93@gmail.com</t>
  </si>
  <si>
    <t>Miranda Castro</t>
  </si>
  <si>
    <t>miricastrom10@gmail.com</t>
  </si>
  <si>
    <t xml:space="preserve">Nicolle Garban </t>
  </si>
  <si>
    <t>nicole.garban@gmail.com</t>
  </si>
  <si>
    <t>Valeria Prieto Medina</t>
  </si>
  <si>
    <t>valeriaprieto22@gmail.com</t>
  </si>
  <si>
    <t>Andreina Idler</t>
  </si>
  <si>
    <t>andre.idler08@gmail.com</t>
  </si>
  <si>
    <t>Champagnat</t>
  </si>
  <si>
    <t>Andrés Forero</t>
  </si>
  <si>
    <t>andresale.fq@gmail.com</t>
  </si>
  <si>
    <t xml:space="preserve">María Angélica Ibarra Luces </t>
  </si>
  <si>
    <t>marylovee214@gmail.com</t>
  </si>
  <si>
    <t>falta carta colegio</t>
  </si>
  <si>
    <t>Raúl Perales</t>
  </si>
  <si>
    <t>raulperalesfavrin@gmail.com</t>
  </si>
  <si>
    <t xml:space="preserve">falta carta colegio. </t>
  </si>
  <si>
    <t>Esteban Santiago</t>
  </si>
  <si>
    <t xml:space="preserve"> &lt;estebansant30@gmail.com&gt;</t>
  </si>
  <si>
    <t>Ángel Julián Breda Rojas</t>
  </si>
  <si>
    <t>angelbreda11@gmail.com</t>
  </si>
  <si>
    <t xml:space="preserve">Maria Alejandra Padrón </t>
  </si>
  <si>
    <t>&lt;marialepadrest@gmail.com&gt;</t>
  </si>
  <si>
    <t>Jeffrey Negron</t>
  </si>
  <si>
    <t>jeffreynegron03@gmail.com</t>
  </si>
  <si>
    <t>se envió carta culminación digital 19/06/19</t>
  </si>
  <si>
    <t>María De Los Angeles Carmona Maneiro</t>
  </si>
  <si>
    <t>kingmacceg@gmail.com</t>
  </si>
  <si>
    <t>varias veces dijo que volvería y en Junio pidió carta culminación. Se envía carta culminación el 19/07/19</t>
  </si>
  <si>
    <t>Rafael Perdomo</t>
  </si>
  <si>
    <t>Rafael.perdo@gmail.com</t>
  </si>
  <si>
    <t>Suspendido</t>
  </si>
  <si>
    <t>Melanie Mariana Mendoza Marcano</t>
  </si>
  <si>
    <t>&lt;mel300229@gmail.com&gt;</t>
  </si>
  <si>
    <t>no regresó ni respondió los correos</t>
  </si>
  <si>
    <t>Alejandra Falcon</t>
  </si>
  <si>
    <t>alefalcon2002@gmail.com</t>
  </si>
  <si>
    <t>se le envió correo el 11/06/19 para verificar si desea la carta de culminación por las horas de apoyo realizadas. Ya que nunca más volvió ni respondió los correos, se optó por enviar carta Culminación</t>
  </si>
  <si>
    <t xml:space="preserve">Victoria Knuth </t>
  </si>
  <si>
    <t>vakm02@gmail.com</t>
  </si>
  <si>
    <t>Ruben Dario Fonseca Silvestri</t>
  </si>
  <si>
    <t>saucofonseca@gmail.com</t>
  </si>
  <si>
    <t xml:space="preserve">Zarath Cabarcas </t>
  </si>
  <si>
    <t>&lt;zarathcabarcas55@gmail.com&gt;</t>
  </si>
  <si>
    <t>Juana de Arco</t>
  </si>
  <si>
    <t>Carolina González</t>
  </si>
  <si>
    <t>Carogonza1105@gmail.com</t>
  </si>
  <si>
    <t>La Rondalera</t>
  </si>
  <si>
    <t>Se envió carta digitalizada el 20/03/19</t>
  </si>
  <si>
    <t xml:space="preserve">María de los Ángeles Llamoza </t>
  </si>
  <si>
    <t>mallo8a@gmail.com</t>
  </si>
  <si>
    <t>se le envió carta de culminación digitalizada el 11/06/19</t>
  </si>
  <si>
    <t>Daniela Montoya</t>
  </si>
  <si>
    <t>danielamontoya73@gmail.com</t>
  </si>
  <si>
    <t>Karla Cerqueira</t>
  </si>
  <si>
    <t>karlagcscipione@gmail.com</t>
  </si>
  <si>
    <t>Se envió carta digitalizada el 22/03/19</t>
  </si>
  <si>
    <t xml:space="preserve">Laia Bofill </t>
  </si>
  <si>
    <t>laiabfll258@gmail.com</t>
  </si>
  <si>
    <t>nunca respondió los correos y se le llamó y fue alli que informó que no podía</t>
  </si>
  <si>
    <t>Valentina Sánchez</t>
  </si>
  <si>
    <t>valendsm0101@gmail.com</t>
  </si>
  <si>
    <t xml:space="preserve">Fatima De Caires P </t>
  </si>
  <si>
    <t>fatimadecaires@gmail.com</t>
  </si>
  <si>
    <t>Daniela Victoria Pinto </t>
  </si>
  <si>
    <t>&lt;danivic02@gmail.com&gt;</t>
  </si>
  <si>
    <t>Vanessa Duarte Valcarcel</t>
  </si>
  <si>
    <t>&lt;mariaelenavalcarcel@gmail.com&gt;</t>
  </si>
  <si>
    <t>María Victoria Ferrer Viera</t>
  </si>
  <si>
    <t>tviera@venezolano.com</t>
  </si>
  <si>
    <t xml:space="preserve">Joyce victoria Quintero Riera </t>
  </si>
  <si>
    <t>&lt;joyceballet18@icloud.com&gt;</t>
  </si>
  <si>
    <t>Valeria Lucena</t>
  </si>
  <si>
    <t>valeelucena1402@gmail.com</t>
  </si>
  <si>
    <t>Andrea Victoria Villarroel Tablante</t>
  </si>
  <si>
    <t>andre1dccs@gmail.com</t>
  </si>
  <si>
    <t xml:space="preserve">Hedymar Ortíz </t>
  </si>
  <si>
    <t>&lt;evelinrrb@gmail.com&gt;</t>
  </si>
  <si>
    <t>Fabiana Rebolledo</t>
  </si>
  <si>
    <t>15defaby@gmail.com</t>
  </si>
  <si>
    <t>Daniela Alexandra Marin Torres     </t>
  </si>
  <si>
    <t>30.514.382       </t>
  </si>
  <si>
    <t>daniela.marin1204@gmail.com</t>
  </si>
  <si>
    <t xml:space="preserve">Diana Valentina Marin Torres          </t>
  </si>
  <si>
    <t xml:space="preserve">30.514.384      </t>
  </si>
  <si>
    <t>diana.dvmt04@gmail.com</t>
  </si>
  <si>
    <t>Daniel Noriega</t>
  </si>
  <si>
    <t>danielnoriegam2003@gmail.com</t>
  </si>
  <si>
    <t>Nuestra Señora de Fátima</t>
  </si>
  <si>
    <t>Abraham Da Silva</t>
  </si>
  <si>
    <t>dasilvaabraham1906@gmail.com</t>
  </si>
  <si>
    <t>realizó 37 horas y los últimos días no fue y no informó. Luego en febrero verificó unas horas que dijo había realizado y no fue así</t>
  </si>
  <si>
    <t>Moises Alejandro Medrano Gonzales</t>
  </si>
  <si>
    <t>moymedrano14@gmail.com</t>
  </si>
  <si>
    <t>0412-7111112</t>
  </si>
  <si>
    <t xml:space="preserve">Anil Infante </t>
  </si>
  <si>
    <t>infanteanil@gmail.com</t>
  </si>
  <si>
    <t>0412-963 23 29</t>
  </si>
  <si>
    <t>Nuestra Señora de Pompei</t>
  </si>
  <si>
    <t xml:space="preserve">Ariadna Doria, </t>
  </si>
  <si>
    <t>avdt2004@gmail.com</t>
  </si>
  <si>
    <t>0424-1806639</t>
  </si>
  <si>
    <t>Dylan Gil</t>
  </si>
  <si>
    <t xml:space="preserve"> &lt;dylangil27@hotmail.com&gt;</t>
  </si>
  <si>
    <t>Frelliany Alexandra Toro</t>
  </si>
  <si>
    <t>frelliany202@gmail.com</t>
  </si>
  <si>
    <t>Gabriela Grislimar Chacon Bonsanto</t>
  </si>
  <si>
    <t>gabygchb@gmail.com</t>
  </si>
  <si>
    <t>Habib G. Oñate H</t>
  </si>
  <si>
    <t>buky1c@gmail.com</t>
  </si>
  <si>
    <t>María Alejandra Torres</t>
  </si>
  <si>
    <t>alianzaespirieterna@gmail.com</t>
  </si>
  <si>
    <t>María Fernanda Franco Vega</t>
  </si>
  <si>
    <t xml:space="preserve"> &lt;mf08franco@gmail.com&gt;</t>
  </si>
  <si>
    <t>iba a iniciar el 11 nov pero se enfermó</t>
  </si>
  <si>
    <t>Natasha Gomes</t>
  </si>
  <si>
    <t>natashagomes05@gmail.com</t>
  </si>
  <si>
    <t>Victoria Hinestroza</t>
  </si>
  <si>
    <t>naboyanki@gmail.com</t>
  </si>
  <si>
    <t xml:space="preserve">Mariana Ianni </t>
  </si>
  <si>
    <t>iannimarianni@gmail.com</t>
  </si>
  <si>
    <t>realizó 1 hora y media no volvió , no envió correo. Se le envió correo el 17 de diciembre 2019 pero nunca contestó</t>
  </si>
  <si>
    <t>Exp eliminado. Solo tenía planilla de Identificación</t>
  </si>
  <si>
    <t>Kenger Soto</t>
  </si>
  <si>
    <t>kengerg08@gmail.com</t>
  </si>
  <si>
    <t xml:space="preserve">Veronika Calzadilla </t>
  </si>
  <si>
    <t>veronikacalzadilla@gmail.com</t>
  </si>
  <si>
    <t xml:space="preserve">No volvió en dic según plan de apoyo y envió correo 14/01/20 informando que se retiraba porque se le dificulta ir a Bambi. </t>
  </si>
  <si>
    <t xml:space="preserve">Paola Rivas </t>
  </si>
  <si>
    <t>&lt;paorivas21@gmail.com&gt;</t>
  </si>
  <si>
    <t>0414 2888846</t>
  </si>
  <si>
    <t xml:space="preserve">César Placid Aguilera </t>
  </si>
  <si>
    <t>aguilerayhair@gmail.com</t>
  </si>
  <si>
    <t>esperando propuesta</t>
  </si>
  <si>
    <t>Eric Gomes</t>
  </si>
  <si>
    <t>ericgomesreal@gmail.com</t>
  </si>
  <si>
    <t>0424-1398314</t>
  </si>
  <si>
    <t>Fabiana Espinoza</t>
  </si>
  <si>
    <t>fabinaespinoza0@gmail.com</t>
  </si>
  <si>
    <t>desde diciembre al hacer 9 horas, no volvió. Se le envió correo de suspensión el 8 enero. Nunca respondio se realizó carta culminacion</t>
  </si>
  <si>
    <t>Valeria López</t>
  </si>
  <si>
    <t>valerialopezmaldonado114@gmail.com</t>
  </si>
  <si>
    <t>Exp eliminado. Tenía planilla y excel sin asistencia.</t>
  </si>
  <si>
    <t>Samuel Ventura</t>
  </si>
  <si>
    <t>samuelventura2004@gmail.com</t>
  </si>
  <si>
    <t>Expediente inexistente</t>
  </si>
  <si>
    <t xml:space="preserve">Yamira Mijares </t>
  </si>
  <si>
    <t>&lt;yami.alexa13@gmail.com&gt;</t>
  </si>
  <si>
    <t>Victoria García</t>
  </si>
  <si>
    <t>vg091004@gmail.com</t>
  </si>
  <si>
    <t>Amanda López</t>
  </si>
  <si>
    <t>amandalopez.al37@gmail.com</t>
  </si>
  <si>
    <t>excelente apoyo</t>
  </si>
  <si>
    <t>Marena Mujica</t>
  </si>
  <si>
    <t>30330790@cslc.edu.ve</t>
  </si>
  <si>
    <t>Rodrigo Lecuna</t>
  </si>
  <si>
    <t>rolecma@gmail.com</t>
  </si>
  <si>
    <t>Santiago Flores</t>
  </si>
  <si>
    <t>31423879@cslc.edu.ve</t>
  </si>
  <si>
    <t>Sofía Gutiérrez </t>
  </si>
  <si>
    <t>Sofialejandrag@gmail.com</t>
  </si>
  <si>
    <t>Valentina Contreras </t>
  </si>
  <si>
    <t>valeainoa@gmail.com</t>
  </si>
  <si>
    <t>Esperando Propuesta</t>
  </si>
  <si>
    <t>Andrés Brito</t>
  </si>
  <si>
    <t xml:space="preserve"> &lt;pichurritoab2005@gmail.com&gt;</t>
  </si>
  <si>
    <t>Santiago de León</t>
  </si>
  <si>
    <t>Paul Sánchez</t>
  </si>
  <si>
    <t>paulitosanchezflores@gmail.com</t>
  </si>
  <si>
    <t xml:space="preserve">04249209857  </t>
  </si>
  <si>
    <t xml:space="preserve">Mariana Isabel Pacanins Díaz </t>
  </si>
  <si>
    <t>mipacanins@gmail.com</t>
  </si>
  <si>
    <t>Sierra Grande</t>
  </si>
  <si>
    <t xml:space="preserve"> en registro hizo 40 horas según sus cuadros 60 horas la estudiante no firmo los cuadros de horas de asistencia pero tiene firmada las horas de apoyo por personal de Bambi. Belkis Herrera verifico las firmas y son validas.</t>
  </si>
  <si>
    <t>Sofía Mejías</t>
  </si>
  <si>
    <t>sofiamejias51@gmail.com</t>
  </si>
  <si>
    <t>Fue un solo día, la mamá llamó para decir que su hija se traumatizó de escuchar a los ninos gritándose que quería cambio a Bambi Enlace y se le dijo que no había cupo</t>
  </si>
  <si>
    <t>Daniel Fajardo</t>
  </si>
  <si>
    <t>danielfajardot@hotmail.com</t>
  </si>
  <si>
    <t>Ana Karina García</t>
  </si>
  <si>
    <t>anakgarciavillegas@gmail.com</t>
  </si>
  <si>
    <t>LUISANGELY OCHOA </t>
  </si>
  <si>
    <t>Luisangely.ochoa1610@gmail.com</t>
  </si>
  <si>
    <t>Maria Fernanda Toro</t>
  </si>
  <si>
    <t>mariafernanda.toro@gmail.com</t>
  </si>
  <si>
    <t>Samantha Raquel Moros Sánchez</t>
  </si>
  <si>
    <t>samanthamoros@gmail.com</t>
  </si>
  <si>
    <t>0412-3849327</t>
  </si>
  <si>
    <t>Daniela Gil</t>
  </si>
  <si>
    <t xml:space="preserve"> &lt;danielagtc111@gmail.com&gt;</t>
  </si>
  <si>
    <t>0426-1208864</t>
  </si>
  <si>
    <t xml:space="preserve">Marialexandra Clemente </t>
  </si>
  <si>
    <t>&lt;marialexclemente224@gmail.com&gt;</t>
  </si>
  <si>
    <t>José Antonio Adamo</t>
  </si>
  <si>
    <t>josealtommy@hoymail.com</t>
  </si>
  <si>
    <t>Tirso de Molina</t>
  </si>
  <si>
    <t xml:space="preserve">Leandra Jimenez </t>
  </si>
  <si>
    <t>labebehermosa75@gmail.com</t>
  </si>
  <si>
    <t>Carlos Soublette</t>
  </si>
  <si>
    <t>hasta antes de cuarentena hizo 26 horas reloj</t>
  </si>
  <si>
    <t>Pausado</t>
  </si>
  <si>
    <t>Maggedith marcano</t>
  </si>
  <si>
    <t xml:space="preserve"> &lt;marcanomag2003@gmail.com&gt;</t>
  </si>
  <si>
    <t>ofrecí hacer carta explicativa que hizo inducción y fue un día, pero no respondió</t>
  </si>
  <si>
    <t>Alessandra Ruscica</t>
  </si>
  <si>
    <t>alessandra.ruscica@gmail.com</t>
  </si>
  <si>
    <t>Cristo Rey de Altamira</t>
  </si>
  <si>
    <t>Anabella Delgado</t>
  </si>
  <si>
    <t xml:space="preserve">anabelladelgado2002@gmail.com </t>
  </si>
  <si>
    <t xml:space="preserve">Sofia Brillembourg </t>
  </si>
  <si>
    <t>&lt;sofiabrillembourg@gmail.com&gt;</t>
  </si>
  <si>
    <t>Daniela Saglimbeni</t>
  </si>
  <si>
    <t>danielasaglimbeni24@gmail.com</t>
  </si>
  <si>
    <t xml:space="preserve">Gustavo Colina Acosta </t>
  </si>
  <si>
    <t>colinagustavo134@gmail.com</t>
  </si>
  <si>
    <t>envió correo el 30/10/10 que tiene hepatitis. El 13/01/20se envía correo para saber su situación de salud</t>
  </si>
  <si>
    <t>Alejandro Jose Torres Castro</t>
  </si>
  <si>
    <t>alejandroj.torresc@gmail.com</t>
  </si>
  <si>
    <t xml:space="preserve">Brina De Biaggi Donis </t>
  </si>
  <si>
    <t>bdebiaggidonis@gmail.com</t>
  </si>
  <si>
    <t xml:space="preserve">Valeria Freites </t>
  </si>
  <si>
    <t>&lt;valeriafreitesv@gmail.com&gt;</t>
  </si>
  <si>
    <t>0414-8204075 / 0424-4616158</t>
  </si>
  <si>
    <t xml:space="preserve">Gianmarco Formica </t>
  </si>
  <si>
    <t>&lt;gianmarcoformica1@gmail.com&gt;</t>
  </si>
  <si>
    <t>La Salle colina</t>
  </si>
  <si>
    <t>Realizó 12 horas antes de la cuarentena. Debe avisar si desea la carta de culminación</t>
  </si>
  <si>
    <t>Greycel Piñero</t>
  </si>
  <si>
    <t>greycel0608.ade.2002@gmail.com</t>
  </si>
  <si>
    <t>0414-2489071</t>
  </si>
  <si>
    <t>Alessandra Tepedino Cestari </t>
  </si>
  <si>
    <t>alessandracestari317@gmail.com</t>
  </si>
  <si>
    <t xml:space="preserve">Shania Rosales </t>
  </si>
  <si>
    <t>joserosalesnuevachacao@gmail.com</t>
  </si>
  <si>
    <t>Parroquial San Ramon Nonato</t>
  </si>
  <si>
    <t>Allen Mejías</t>
  </si>
  <si>
    <t>Allen_Mejias@outlook.es</t>
  </si>
  <si>
    <t>culminó</t>
  </si>
  <si>
    <t>Mariana Briceño</t>
  </si>
  <si>
    <t xml:space="preserve"> &lt;mariana.brice25@gmail.com&gt;</t>
  </si>
  <si>
    <t>0414-963-1423</t>
  </si>
  <si>
    <t>San Francisco de Sales</t>
  </si>
  <si>
    <t xml:space="preserve">Marianna uzcategui </t>
  </si>
  <si>
    <t>&lt;mariannauzcategui@hotmail.com&gt;</t>
  </si>
  <si>
    <t xml:space="preserve"> 0412-395-7224</t>
  </si>
  <si>
    <t xml:space="preserve">Tomás Gil </t>
  </si>
  <si>
    <t>tommygilbravo@gmail.com</t>
  </si>
  <si>
    <t>excelente estudiante, gran apoyo</t>
  </si>
  <si>
    <t>Marilyn Gonzalez</t>
  </si>
  <si>
    <t xml:space="preserve"> &lt;marilynz_28@hotmail.com&gt;</t>
  </si>
  <si>
    <t xml:space="preserve">Sharon Jerez </t>
  </si>
  <si>
    <t>sharonaleja500@gmail.com</t>
  </si>
  <si>
    <t>Andrea López</t>
  </si>
  <si>
    <t>31703954@cslc.edu.ve</t>
  </si>
  <si>
    <t>Antonella Suárez</t>
  </si>
  <si>
    <t>31136316@cslc.edu.ve</t>
  </si>
  <si>
    <t>Diego Mendoza</t>
  </si>
  <si>
    <t>dimendoza05@gmail.com y 31082250@cslc.edu.ve</t>
  </si>
  <si>
    <t>Valentina Roso</t>
  </si>
  <si>
    <t>Val Roso &lt;roso.valen@gmail.com&gt;</t>
  </si>
  <si>
    <t>Alena Campos</t>
  </si>
  <si>
    <t>30888165@cslc.edu.ve</t>
  </si>
  <si>
    <t>María Alejandra Ortega</t>
  </si>
  <si>
    <t>ortegamale7@gmail.com</t>
  </si>
  <si>
    <t xml:space="preserve">Richard Yrady </t>
  </si>
  <si>
    <t>&lt;richardyrady70@gmail.com&gt;</t>
  </si>
  <si>
    <t>Felipe Contreras</t>
  </si>
  <si>
    <t xml:space="preserve">felipe.contreras@tbscaracas.com; </t>
  </si>
  <si>
    <t>Grupal TBSC OCT 2018</t>
  </si>
  <si>
    <t>realizó 2 visitas en novimebre y 2 en enero total de 3 horas. Es hijo de Gretel de la junta directiva</t>
  </si>
  <si>
    <t>Ricardo Dominguez</t>
  </si>
  <si>
    <t xml:space="preserve">ricardo.dominguez@tbscaracas.com; </t>
  </si>
  <si>
    <t>realizó dos visitas de una hora cada una en noviembre 2019 no volvió ni envió correo</t>
  </si>
  <si>
    <t xml:space="preserve">Alejandro Melchor </t>
  </si>
  <si>
    <t>&lt;alejandro.melchor65@lasallelacolina.org.ve&gt;</t>
  </si>
  <si>
    <t>Ariadni Calderon</t>
  </si>
  <si>
    <t>31 236 382</t>
  </si>
  <si>
    <t xml:space="preserve"> &lt;ariadni.calderon65@lasallelacolina.org.ve&gt;</t>
  </si>
  <si>
    <t>0424 1630537</t>
  </si>
  <si>
    <t xml:space="preserve">Gabriel Molano </t>
  </si>
  <si>
    <t>gabriel.molano64@lasallelacolina.org.ve</t>
  </si>
  <si>
    <t xml:space="preserve">Giselle Frangie </t>
  </si>
  <si>
    <t>&lt;gisellefrangie@gmail.com&gt;</t>
  </si>
  <si>
    <t xml:space="preserve">Hadit Camacho </t>
  </si>
  <si>
    <t>&lt;hadit.camacho65@lasallelacolina.org.ve&gt;</t>
  </si>
  <si>
    <t>MIguel Ángel Viloria</t>
  </si>
  <si>
    <t>miguel.viloria64@lasallelacolina.org.ve y  miguelviloria709@gmail.com</t>
  </si>
  <si>
    <t xml:space="preserve">Paola Arteaga </t>
  </si>
  <si>
    <t>&lt;paola.arteaga65@lasallelacolina.org.ve&gt;</t>
  </si>
  <si>
    <t xml:space="preserve">Steffany Perales </t>
  </si>
  <si>
    <t>&lt;steffany.perales65@lasallelacolina.org.ve&gt;</t>
  </si>
  <si>
    <t>Michele Castellanos</t>
  </si>
  <si>
    <t>michelecastellanos14@gmail.com</t>
  </si>
  <si>
    <t>Subio todo lo propuesto, solo espera visita para culminar</t>
  </si>
  <si>
    <t>Marco Aurelio  Ovalles</t>
  </si>
  <si>
    <t>maor050304@gmail.com</t>
  </si>
  <si>
    <t>0414 2622978</t>
  </si>
  <si>
    <t>Jose Ignacio Francisco Alvarez</t>
  </si>
  <si>
    <t>&lt;jose.francisco.2022@colegiosi.org&gt;</t>
  </si>
  <si>
    <t>Juan Andrés Yglesias Gutiérrez</t>
  </si>
  <si>
    <t>&lt;juan.yglesias.2022@colegiosi.org</t>
  </si>
  <si>
    <t xml:space="preserve">Alfonzo Crimenti </t>
  </si>
  <si>
    <t>&lt;alfocri25@gmail.com&gt;</t>
  </si>
  <si>
    <t>Aula Nueva</t>
  </si>
  <si>
    <t>realizó una serie de varios videos y se le concedio 60 horas debor social</t>
  </si>
  <si>
    <t>Victoria Perales</t>
  </si>
  <si>
    <t>victoriaperales2003@gmail.com</t>
  </si>
  <si>
    <t>David Garcia</t>
  </si>
  <si>
    <t xml:space="preserve"> &lt;davi.garc.mar@gmail.com&gt;</t>
  </si>
  <si>
    <t xml:space="preserve">04125587063 02122342147 </t>
  </si>
  <si>
    <t>Colegio Francia</t>
  </si>
  <si>
    <t>Atento  y sensible a la actividad con los niños</t>
  </si>
  <si>
    <t>Daniela Díaz Toimil</t>
  </si>
  <si>
    <t xml:space="preserve"> &lt;danieladiaztoimil@gmail.com&gt;</t>
  </si>
  <si>
    <t>Instituo Daewere</t>
  </si>
  <si>
    <t>Sarah Alejandra Benitez Arismendi</t>
  </si>
  <si>
    <t>&lt;sarahbenitezza@gmail.com&gt;</t>
  </si>
  <si>
    <t>Camila Santaella</t>
  </si>
  <si>
    <t>camisantaella0312@gmail.com</t>
  </si>
  <si>
    <t>Reconocimiento por apoyo comunitario destacado en 2020. Día de Voluntario 2020</t>
  </si>
  <si>
    <t>verificar</t>
  </si>
  <si>
    <t>Fabiana Santaella</t>
  </si>
  <si>
    <t>fabisantaella.aponte@gmail.com</t>
  </si>
  <si>
    <t xml:space="preserve">Fabiana Fuertes </t>
  </si>
  <si>
    <t>&lt;fabysf19@gmail.com&gt;</t>
  </si>
  <si>
    <t>0424-2874755</t>
  </si>
  <si>
    <t xml:space="preserve">Melissa Casas </t>
  </si>
  <si>
    <t>&lt;melissacasass13@gmail.com&gt;</t>
  </si>
  <si>
    <t>Victoria Dellán</t>
  </si>
  <si>
    <t xml:space="preserve"> &lt;vikydellan@gmail.com&gt;</t>
  </si>
  <si>
    <t xml:space="preserve">Daniela Diaz </t>
  </si>
  <si>
    <t>&lt;daniela240916@gmail.com&gt;</t>
  </si>
  <si>
    <t>Juan Jose Corrales</t>
  </si>
  <si>
    <t xml:space="preserve"> &lt;jjcorralesg@gmail.com&gt;</t>
  </si>
  <si>
    <t>0412-3925587</t>
  </si>
  <si>
    <t xml:space="preserve">Jhosselyn María López </t>
  </si>
  <si>
    <t xml:space="preserve"> &lt;jhosse5000@gmail.com&gt;</t>
  </si>
  <si>
    <t>0412 984 48 77</t>
  </si>
  <si>
    <t>Kimberly Saraí Coronado Velasco.</t>
  </si>
  <si>
    <t xml:space="preserve"> &lt;kcoronado306@gmail.com&gt;</t>
  </si>
  <si>
    <t>0414-928-5542</t>
  </si>
  <si>
    <t>Fiorella Torrez</t>
  </si>
  <si>
    <t>vallefiorella1@gmail.com</t>
  </si>
  <si>
    <t>Santo Tomás de Aquino</t>
  </si>
  <si>
    <t xml:space="preserve">Fabiana Victoria Fernández Salazar </t>
  </si>
  <si>
    <t>fabianafernande386@gmail.com</t>
  </si>
  <si>
    <t>0424-2915957</t>
  </si>
  <si>
    <t>Don Bosco de Altamira</t>
  </si>
  <si>
    <t>Esther Daniela Sosa Valero</t>
  </si>
  <si>
    <t>estherdanielasosavalero@gmail.com</t>
  </si>
  <si>
    <t xml:space="preserve">0212-4421777 0424-2168936  </t>
  </si>
  <si>
    <t>Ave María</t>
  </si>
  <si>
    <t>Daniela Vega</t>
  </si>
  <si>
    <t>dvega0408@gmail.com</t>
  </si>
  <si>
    <t>no culmino y se le dio constancia de horas por 4</t>
  </si>
  <si>
    <t xml:space="preserve">Maria Isabel Aristeguieta </t>
  </si>
  <si>
    <t xml:space="preserve">mariaaristeguieta1@gmail.com </t>
  </si>
  <si>
    <t>no culmino y se le dio constancia de horas por 4,5</t>
  </si>
  <si>
    <t xml:space="preserve">Angelin Arianny Pérez Arias </t>
  </si>
  <si>
    <t>angelin.p1507@gmail.com</t>
  </si>
  <si>
    <t>María Camila Cardona</t>
  </si>
  <si>
    <t>Camilacaracas08.03@gmail.com</t>
  </si>
  <si>
    <t>0424-2508381</t>
  </si>
  <si>
    <t>Realizó inducción de voluntarios con su mamá, "la señora Federica se estará comunicando con usted para decirle que ya yo realice mis horas de labor social Bajo su supervisión y hasta el momento necesito por favor el informe de las horas realizadas gracias" correo</t>
  </si>
  <si>
    <t>Samuel Alfredo González Salazar</t>
  </si>
  <si>
    <t>samuelalfredogs15@gmail.com</t>
  </si>
  <si>
    <t>Santo Tomás de Villanueva</t>
  </si>
  <si>
    <t xml:space="preserve">ultimo correo </t>
  </si>
  <si>
    <t>Michelle Angelie Criado Aguilera</t>
  </si>
  <si>
    <t>michellecriado24@gmail.com</t>
  </si>
  <si>
    <t>0414-1179123</t>
  </si>
  <si>
    <t>36 horas, no culmino y se le dio constancia de horas por 4,5</t>
  </si>
  <si>
    <t>Exp eliminado. Tenía planilla y excel con una sola asistencia.</t>
  </si>
  <si>
    <t xml:space="preserve">Samuel Abraham González Torres </t>
  </si>
  <si>
    <t>samuelagonzalezt27@gmail.com</t>
  </si>
  <si>
    <t>Simón Ignacio Márquez</t>
  </si>
  <si>
    <t>simonmarquez443@gmail.com</t>
  </si>
  <si>
    <t>Emily Nohemí Ochoa Maldonado</t>
  </si>
  <si>
    <t>emily8ita@gmail.com</t>
  </si>
  <si>
    <t>no respondio mas</t>
  </si>
  <si>
    <t>Verónica Sofía Vargas Del Pino</t>
  </si>
  <si>
    <t>notifico que iniciaria en julio por que hace natación, debe hacer el proceso de nuevo</t>
  </si>
  <si>
    <t>Daniela Idler</t>
  </si>
  <si>
    <t>vero.vargasdelpino@gmail.com</t>
  </si>
  <si>
    <t>0424-5339778</t>
  </si>
  <si>
    <t>Viviana Antolino</t>
  </si>
  <si>
    <t>vivianaantolino@colegiochampagnatccs.com</t>
  </si>
  <si>
    <t>Nicole Alejandra Ferrer Mata</t>
  </si>
  <si>
    <t>ferrernicole111@gmail.com</t>
  </si>
  <si>
    <t>Denny Hidalgo</t>
  </si>
  <si>
    <t xml:space="preserve"> denny.hidalgo.2022@colegiosi.org</t>
  </si>
  <si>
    <t>0412 9391523</t>
  </si>
  <si>
    <t>Diego Méndez</t>
  </si>
  <si>
    <t>diego.mendez.2022@colegiosi.org</t>
  </si>
  <si>
    <t>Gabriel José Fonseca Ferreira</t>
  </si>
  <si>
    <t>gabogamer30600@gmail.com</t>
  </si>
  <si>
    <t>0416 724 1053</t>
  </si>
  <si>
    <t>20 horas con proyecto de recaudación de hojas de reciclaje y 40 horas de apoyo presencial</t>
  </si>
  <si>
    <t>Najher Guerra</t>
  </si>
  <si>
    <t xml:space="preserve"> ramsesguevara44@gmail.com</t>
  </si>
  <si>
    <t>20 horas con proyecto de recaudación de hojas de reciclaje y 40 horas de apoyo presencial/ Cristian le hizo carta de culminación del 22 de sept. pero no tiene firma digital.</t>
  </si>
  <si>
    <t>José Daniel Toro Gómez</t>
  </si>
  <si>
    <t>jdanieltorogcva@gmail.com</t>
  </si>
  <si>
    <t>0424-2961925</t>
  </si>
  <si>
    <t>120 horas</t>
  </si>
  <si>
    <t>Andrés Torrellas</t>
  </si>
  <si>
    <t>andrestorrellas2707@gmail.com</t>
  </si>
  <si>
    <t>0424-145-6666</t>
  </si>
  <si>
    <t>Niño Jesús de Praga</t>
  </si>
  <si>
    <t>60 horas</t>
  </si>
  <si>
    <t>Gabriela Sandoval Prieto</t>
  </si>
  <si>
    <t>sandovalprietogaby@gmail.com</t>
  </si>
  <si>
    <t>0412.097.44.35</t>
  </si>
  <si>
    <t>Sarah Sandoval Prieto</t>
  </si>
  <si>
    <t>sandovalprietosarah@gmail.com</t>
  </si>
  <si>
    <t>0412.022.28.65</t>
  </si>
  <si>
    <t>Alejandra Caldoni</t>
  </si>
  <si>
    <t>ale.caldoni@gmail.com</t>
  </si>
  <si>
    <t>Mariam Navarro</t>
  </si>
  <si>
    <t>mariamnavarro2005@gmail.com</t>
  </si>
  <si>
    <t xml:space="preserve">Samantha García Hadamovsky </t>
  </si>
  <si>
    <t>samanthaipgarciah0@gmail.com</t>
  </si>
  <si>
    <t>María Santísima</t>
  </si>
  <si>
    <t xml:space="preserve">Mariano Jose Joaquin Garcia Hadamovsky </t>
  </si>
  <si>
    <t>&lt;marianojjgarcia@gmail.com&gt;</t>
  </si>
  <si>
    <t>Gabriela Andreina Trejo Esculpi</t>
  </si>
  <si>
    <t>gabytrejovzla@gmail.com</t>
  </si>
  <si>
    <t>0426-1132679</t>
  </si>
  <si>
    <t>Agustiniano Cristo Rey</t>
  </si>
  <si>
    <t>hizop 69 horas de apoyo de 80 HORAS, 39 presencial y 30 por proyecto de recoleccion de hojas</t>
  </si>
  <si>
    <t>Lucia Guzmán Nuñez</t>
  </si>
  <si>
    <t>luci.gzmn66@gmail.com</t>
  </si>
  <si>
    <t>0424-1519568</t>
  </si>
  <si>
    <t>Falta culminar proyecto de recaudación de hojas de reciclaje</t>
  </si>
  <si>
    <t>Andy Javier Riera</t>
  </si>
  <si>
    <t>andyriera525@gmail.com</t>
  </si>
  <si>
    <t>0424-177-30-19</t>
  </si>
  <si>
    <t>Alana Brewer</t>
  </si>
  <si>
    <t>alanabrewer27@gmail.com</t>
  </si>
  <si>
    <t>0414-9322507</t>
  </si>
  <si>
    <t>Campo Alegre</t>
  </si>
  <si>
    <t>Karen Lombardo</t>
  </si>
  <si>
    <t>karenlombardo2019etpma@gmail.com</t>
  </si>
  <si>
    <t>Manifestó via correo que decidió retirarse por haber encontrado otro lugar donde realizar su labor social</t>
  </si>
  <si>
    <t>Alejandro Gómez</t>
  </si>
  <si>
    <t>alejandrogomezmunoz9@gmail.com</t>
  </si>
  <si>
    <t>0412-8689352</t>
  </si>
  <si>
    <t>Annarella Osorio</t>
  </si>
  <si>
    <t>anarella2709@gmail.com</t>
  </si>
  <si>
    <t>La Concepción</t>
  </si>
  <si>
    <t>Entregó el Proyecto 30 horas "Recaudación de hojas de reciclaje" el 14/06/2024</t>
  </si>
  <si>
    <t>Brian Alejandro Villafañe</t>
  </si>
  <si>
    <t>brianvilla2906@gmail.com</t>
  </si>
  <si>
    <t>0414-1265034</t>
  </si>
  <si>
    <t>Sebastian Soto</t>
  </si>
  <si>
    <t>sebastian7sotto7@gmail.com</t>
  </si>
  <si>
    <t>Bolívar y Freud</t>
  </si>
  <si>
    <t>Se le realizó constancia de horas de apoyo debido a que no culminó</t>
  </si>
  <si>
    <t>Isaac Simón Madriz</t>
  </si>
  <si>
    <t>&lt;isaacmgoitia@gmail.com&gt;</t>
  </si>
  <si>
    <t>0412-392-52-03</t>
  </si>
  <si>
    <t>Keniger Adhael Soto Márquez</t>
  </si>
  <si>
    <t>keniger.soto@gmail.com</t>
  </si>
  <si>
    <t>(0426) 5122466</t>
  </si>
  <si>
    <t>Enzo Andres Colmenares Figueroa.</t>
  </si>
  <si>
    <t>colmenaresenzo1002@gmail.com</t>
  </si>
  <si>
    <t>0412.831.78.18/0414 .287 .16 .89.</t>
  </si>
  <si>
    <t>Proyecto Hojas de reciclaje</t>
  </si>
  <si>
    <t>María Emilia Padilla Sampedro</t>
  </si>
  <si>
    <t>Mariapadillaemilia3008@colegioteresianolacastellana.web.ve</t>
  </si>
  <si>
    <t>Iniciando</t>
  </si>
  <si>
    <t>José David Orense Malavé</t>
  </si>
  <si>
    <t>jose.orense.7mogrado@gmail.com</t>
  </si>
  <si>
    <t>Colegio Patria</t>
  </si>
  <si>
    <t>Gabriel Rodriguez</t>
  </si>
  <si>
    <t>gabrielrodriguezq@colegiochampagnatccs.com</t>
  </si>
  <si>
    <t>0424-163-9358</t>
  </si>
  <si>
    <t>Jordano Marcano</t>
  </si>
  <si>
    <t>jordanomarcano0@gmail.com</t>
  </si>
  <si>
    <t>0412-3605723</t>
  </si>
  <si>
    <t>Churun Meru</t>
  </si>
  <si>
    <t>Camila Rodriguez</t>
  </si>
  <si>
    <t>anaiss.2411@gmail.com</t>
  </si>
  <si>
    <t>0412-3337935</t>
  </si>
  <si>
    <t>Colegio Fundación Carlos Delfino</t>
  </si>
  <si>
    <t>Gabriel Antonio Ovalles</t>
  </si>
  <si>
    <t>pekecuchu@gmail.com</t>
  </si>
  <si>
    <t>0414-2486782</t>
  </si>
  <si>
    <t>Andrea Barrios</t>
  </si>
  <si>
    <t>andreabarrios1902@gmail.com</t>
  </si>
  <si>
    <t>0424-2005380</t>
  </si>
  <si>
    <t>Amlevis López</t>
  </si>
  <si>
    <t>amlevislopez16@gmail.com</t>
  </si>
  <si>
    <t>0412-604-3006</t>
  </si>
  <si>
    <t xml:space="preserve">Maria Garrido Moya </t>
  </si>
  <si>
    <t>mandreinamoya@gmail.com</t>
  </si>
  <si>
    <t>0416-0547858</t>
  </si>
  <si>
    <t>Juan Diego Noriega</t>
  </si>
  <si>
    <t>noriegajuandiego58@gmail.com</t>
  </si>
  <si>
    <t>0414-2078588</t>
  </si>
  <si>
    <t>Rachel Vergara</t>
  </si>
  <si>
    <t>racheldayelit@gmail.com</t>
  </si>
  <si>
    <t>0412-2075057</t>
  </si>
  <si>
    <t>Andrea Lucena</t>
  </si>
  <si>
    <t>andreavlucena07@gmail.com</t>
  </si>
  <si>
    <t>Ya envio el proyecto faltan las hojas y consignó las hojas</t>
  </si>
  <si>
    <t>Sara Ariza</t>
  </si>
  <si>
    <t>osmarysaravilla@gmail.com</t>
  </si>
  <si>
    <t>Consignó las hojas de reciclaje hoy 05/08/2025</t>
  </si>
  <si>
    <t>María Fernanda Pérez</t>
  </si>
  <si>
    <t>mariferchi.1710@gmail.com</t>
  </si>
  <si>
    <t>Ya envió el proyecto y Consignó las hojas de reciclaje hoy 12/08/2025</t>
  </si>
  <si>
    <t>Yennifer Reyes</t>
  </si>
  <si>
    <t>reyesyennifer112@gmail.com</t>
  </si>
  <si>
    <t>Isaac Uribe</t>
  </si>
  <si>
    <t>iius91107@gmail.com</t>
  </si>
  <si>
    <t>La Ciencia</t>
  </si>
  <si>
    <t>Consignó las hojas de reciclaje el 09/06/2025</t>
  </si>
  <si>
    <t>Angelina Quishpi</t>
  </si>
  <si>
    <t>angelinaquishpi12@gmail.com</t>
  </si>
  <si>
    <t>Diana Labrador</t>
  </si>
  <si>
    <t>tuutula@gmail.com</t>
  </si>
  <si>
    <t>0424-1644056</t>
  </si>
  <si>
    <t>Colegio San Antonio</t>
  </si>
  <si>
    <t>Entreg+o hoy 30/04/2025 las hojas de reciclaje</t>
  </si>
  <si>
    <t>Naibelys Castillo</t>
  </si>
  <si>
    <t>naicastillo765@gmail.com</t>
  </si>
  <si>
    <t>0412-9191950</t>
  </si>
  <si>
    <t>Los Chagaruamos</t>
  </si>
  <si>
    <t>Entregó hojas de reciclaje 10/04/2025 (Adriana)</t>
  </si>
  <si>
    <t>Sofía Alvarez</t>
  </si>
  <si>
    <t>33.433.147.</t>
  </si>
  <si>
    <t>sofia22sky@gmail.com</t>
  </si>
  <si>
    <t>Gabriela Hernandez</t>
  </si>
  <si>
    <t>gabrielaht2010@gmail.com</t>
  </si>
  <si>
    <t>Sofía Cardozo Duran</t>
  </si>
  <si>
    <t>cardozoduransofia@gmail.com</t>
  </si>
  <si>
    <t>Gonzalo Contreras</t>
  </si>
  <si>
    <t>gonzalocontreras475@gmail.com</t>
  </si>
  <si>
    <t>0412-4815304</t>
  </si>
  <si>
    <t>Colegio Cervantes</t>
  </si>
  <si>
    <t>Luis Quiaro</t>
  </si>
  <si>
    <t>luisdqr517@gmail.com</t>
  </si>
  <si>
    <t>0424-1570137</t>
  </si>
  <si>
    <t>80 horas Consignó hojas el 12/06/2025</t>
  </si>
  <si>
    <t>Sebastian Marcano Torcates</t>
  </si>
  <si>
    <t>sebasmarcaplay4@gmail.com</t>
  </si>
  <si>
    <t>Tatiana Méndez Pose</t>
  </si>
  <si>
    <t>tatimendez2502@gmail.com</t>
  </si>
  <si>
    <t>Sofía Briceño</t>
  </si>
  <si>
    <t>sofibricgo@gmail.com</t>
  </si>
  <si>
    <t>Andrea Acosta</t>
  </si>
  <si>
    <t>t2028002@cslc.edu.ve</t>
  </si>
  <si>
    <t>José Antonio García Díaz</t>
  </si>
  <si>
    <t>joseagd0909@gmail.com</t>
  </si>
  <si>
    <t>Ana Valentina Pita</t>
  </si>
  <si>
    <t>anapita7moacsl@gmail.com</t>
  </si>
  <si>
    <t>0414-1042523</t>
  </si>
  <si>
    <t>San Lucas</t>
  </si>
  <si>
    <t>Rodrigo Tabata</t>
  </si>
  <si>
    <t>rodrigo.tabata26@gmail.com</t>
  </si>
  <si>
    <t>0424-2765697</t>
  </si>
  <si>
    <t>Camila Rios</t>
  </si>
  <si>
    <t>camilariossjt26@gmail.com</t>
  </si>
  <si>
    <t>Samantha Biosca Norris</t>
  </si>
  <si>
    <t>samanthabiosca03@gmail.com</t>
  </si>
  <si>
    <t>0424-1860651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</si>
</sst>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mm/yy"/>
    <numFmt numFmtId="166" formatCode="d/m/yy"/>
    <numFmt numFmtId="167" formatCode="dd/mm/yyyy"/>
  </numFmts>
  <fonts count="30">
    <font>
      <sz val="11.0"/>
      <color theme="1"/>
      <name val="Calibri"/>
      <scheme val="minor"/>
    </font>
    <font>
      <color theme="1"/>
      <name val="Calibri"/>
      <scheme val="minor"/>
    </font>
    <font>
      <b/>
      <sz val="13.0"/>
      <color theme="1"/>
      <name val="Calibri"/>
    </font>
    <font>
      <b/>
      <sz val="11.0"/>
      <color theme="1"/>
      <name val="Arial"/>
    </font>
    <font>
      <sz val="12.0"/>
      <color theme="1"/>
      <name val="Aptos Narrow"/>
    </font>
    <font>
      <b/>
      <sz val="9.0"/>
      <color theme="0"/>
      <name val="Calibri"/>
    </font>
    <font>
      <b/>
      <sz val="9.0"/>
      <color rgb="FFFFFFFF"/>
      <name val="Calibri"/>
    </font>
    <font/>
    <font>
      <b/>
      <color rgb="FFFFFFFF"/>
      <name val="Calibri"/>
      <scheme val="minor"/>
    </font>
    <font>
      <sz val="9.0"/>
      <color theme="1"/>
      <name val="Calibri"/>
    </font>
    <font>
      <sz val="20.0"/>
      <color theme="1"/>
      <name val="Arial"/>
    </font>
    <font>
      <b/>
      <color theme="1"/>
      <name val="Arial"/>
    </font>
    <font>
      <sz val="11.0"/>
      <color theme="1"/>
      <name val="Calibri"/>
    </font>
    <font>
      <b/>
      <sz val="11.0"/>
      <color rgb="FF3F3F3F"/>
      <name val="Arial"/>
    </font>
    <font>
      <u/>
      <sz val="11.0"/>
      <color theme="1"/>
      <name val="Calibri"/>
    </font>
    <font>
      <b/>
      <sz val="12.0"/>
      <color theme="1"/>
      <name val="Calibri"/>
    </font>
    <font>
      <b/>
      <sz val="12.0"/>
      <color theme="1"/>
      <name val="Aptos Narrow"/>
    </font>
    <font>
      <u/>
      <sz val="11.0"/>
      <color theme="1"/>
      <name val="Calibri"/>
    </font>
    <font>
      <b/>
      <sz val="12.0"/>
      <color theme="1"/>
      <name val="Arial"/>
    </font>
    <font>
      <b/>
      <sz val="12.0"/>
      <color rgb="FF434343"/>
      <name val="Calibri"/>
    </font>
    <font>
      <u/>
      <sz val="11.0"/>
      <color theme="1"/>
      <name val="Calibri"/>
    </font>
    <font>
      <b/>
      <sz val="11.0"/>
      <color theme="1"/>
      <name val="Calibri"/>
    </font>
    <font>
      <sz val="11.0"/>
      <color rgb="FFFF0000"/>
      <name val="Calibri"/>
    </font>
    <font>
      <u/>
      <sz val="11.0"/>
      <color rgb="FFFF0000"/>
      <name val="Calibri"/>
    </font>
    <font>
      <color rgb="FFFF0000"/>
      <name val="Calibri"/>
      <scheme val="minor"/>
    </font>
    <font>
      <u/>
      <sz val="11.0"/>
      <color theme="1"/>
      <name val="Calibri"/>
    </font>
    <font>
      <sz val="11.0"/>
      <color rgb="FF000000"/>
      <name val="Calibri"/>
    </font>
    <font>
      <color rgb="FF000000"/>
      <name val="Calibri"/>
      <scheme val="minor"/>
    </font>
    <font>
      <u/>
      <sz val="11.0"/>
      <color rgb="FF000000"/>
      <name val="Calibri"/>
    </font>
    <font>
      <u/>
      <sz val="11.0"/>
      <color rgb="FF000000"/>
      <name val="Calibri"/>
    </font>
  </fonts>
  <fills count="16">
    <fill>
      <patternFill patternType="none"/>
    </fill>
    <fill>
      <patternFill patternType="lightGray"/>
    </fill>
    <fill>
      <patternFill patternType="solid">
        <fgColor rgb="FF92CDDC"/>
        <bgColor rgb="FF92CDDC"/>
      </patternFill>
    </fill>
    <fill>
      <patternFill patternType="solid">
        <fgColor rgb="FFFFFFFF"/>
        <bgColor rgb="FFFFFFFF"/>
      </patternFill>
    </fill>
    <fill>
      <patternFill patternType="solid">
        <fgColor rgb="FF385623"/>
        <bgColor rgb="FF385623"/>
      </patternFill>
    </fill>
    <fill>
      <patternFill patternType="solid">
        <fgColor rgb="FFC9DAF8"/>
        <bgColor rgb="FFC9DAF8"/>
      </patternFill>
    </fill>
    <fill>
      <patternFill patternType="solid">
        <fgColor rgb="FFD6E3BC"/>
        <bgColor rgb="FFD6E3BC"/>
      </patternFill>
    </fill>
    <fill>
      <patternFill patternType="solid">
        <fgColor rgb="FFE2EFD9"/>
        <bgColor rgb="FFE2EFD9"/>
      </patternFill>
    </fill>
    <fill>
      <patternFill patternType="solid">
        <fgColor rgb="FFD8D8D8"/>
        <bgColor rgb="FFD8D8D8"/>
      </patternFill>
    </fill>
    <fill>
      <patternFill patternType="solid">
        <fgColor rgb="FFEAD1DC"/>
        <bgColor rgb="FFEAD1DC"/>
      </patternFill>
    </fill>
    <fill>
      <patternFill patternType="solid">
        <fgColor rgb="FFFFF2CC"/>
        <bgColor rgb="FFFFF2CC"/>
      </patternFill>
    </fill>
    <fill>
      <patternFill patternType="solid">
        <fgColor rgb="FFCFE2F3"/>
        <bgColor rgb="FFCFE2F3"/>
      </patternFill>
    </fill>
    <fill>
      <patternFill patternType="solid">
        <fgColor rgb="FFFCE5CD"/>
        <bgColor rgb="FFFCE5CD"/>
      </patternFill>
    </fill>
    <fill>
      <patternFill patternType="solid">
        <fgColor rgb="FFD9D9D9"/>
        <bgColor rgb="FFD9D9D9"/>
      </patternFill>
    </fill>
    <fill>
      <patternFill patternType="solid">
        <fgColor rgb="FFDEEAF6"/>
        <bgColor rgb="FFDEEAF6"/>
      </patternFill>
    </fill>
    <fill>
      <patternFill patternType="solid">
        <fgColor theme="0"/>
        <bgColor theme="0"/>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top style="thin">
        <color rgb="FF000000"/>
      </top>
      <bottom/>
    </border>
    <border>
      <left/>
      <right/>
      <top/>
      <bottom/>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bottom style="thin">
        <color rgb="FF000000"/>
      </bottom>
    </border>
    <border>
      <left style="thin">
        <color rgb="FF000000"/>
      </left>
      <right/>
      <top/>
    </border>
    <border>
      <left style="thin">
        <color rgb="FF000000"/>
      </left>
      <righ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horizontal="center"/>
    </xf>
    <xf borderId="1" fillId="0" fontId="1" numFmtId="0" xfId="0" applyBorder="1" applyFont="1"/>
    <xf borderId="2" fillId="2" fontId="3" numFmtId="0" xfId="0" applyAlignment="1" applyBorder="1" applyFill="1" applyFont="1">
      <alignment horizontal="center" shrinkToFit="0" vertical="center" wrapText="1"/>
    </xf>
    <xf borderId="0" fillId="3" fontId="1" numFmtId="0" xfId="0" applyFill="1" applyFont="1"/>
    <xf borderId="3" fillId="2" fontId="4" numFmtId="0" xfId="0" applyAlignment="1" applyBorder="1" applyFill="1" applyFont="1">
      <alignment vertical="bottom"/>
    </xf>
    <xf borderId="1" fillId="2" fontId="3" numFmtId="0" xfId="0" applyAlignment="1" applyBorder="1" applyFill="1" applyFont="1">
      <alignment horizontal="center" shrinkToFit="0" vertical="bottom" wrapText="1"/>
    </xf>
    <xf borderId="4" fillId="4" fontId="5" numFmtId="0" xfId="0" applyAlignment="1" applyBorder="1" applyFill="1" applyFont="1">
      <alignment horizontal="center" shrinkToFit="0" vertical="center" wrapText="1"/>
    </xf>
    <xf borderId="1" fillId="2" fontId="4" numFmtId="0" xfId="0" applyAlignment="1" applyBorder="1" applyFill="1" applyFont="1">
      <alignment vertical="bottom"/>
    </xf>
    <xf borderId="5" fillId="4" fontId="6" numFmtId="0" xfId="0" applyAlignment="1" applyBorder="1" applyFill="1" applyFont="1">
      <alignment horizontal="center" shrinkToFit="0" vertical="center" wrapText="1"/>
    </xf>
    <xf borderId="6" fillId="0" fontId="7" numFmtId="0" xfId="0" applyBorder="1" applyFont="1"/>
    <xf borderId="4" fillId="4" fontId="6" numFmtId="0" xfId="0" applyAlignment="1" applyBorder="1" applyFill="1" applyFont="1">
      <alignment horizontal="center" shrinkToFit="0" vertical="center" wrapText="1"/>
    </xf>
    <xf borderId="1" fillId="5" fontId="4" numFmtId="16" xfId="0" applyAlignment="1" applyBorder="1" applyFill="1" applyFont="1" applyNumberFormat="1">
      <alignment vertical="bottom"/>
    </xf>
    <xf borderId="4" fillId="4" fontId="5" numFmtId="164" xfId="0" applyAlignment="1" applyBorder="1" applyFill="1" applyFont="1" applyNumberFormat="1">
      <alignment horizontal="center" shrinkToFit="0" vertical="center" wrapText="1"/>
    </xf>
    <xf borderId="1" fillId="5" fontId="3" numFmtId="16" xfId="0" applyAlignment="1" applyBorder="1" applyFill="1" applyFont="1" applyNumberFormat="1">
      <alignment horizontal="center" shrinkToFit="0" vertical="bottom" wrapText="1"/>
    </xf>
    <xf borderId="1" fillId="4" fontId="8" numFmtId="0" xfId="0" applyAlignment="1" applyBorder="1" applyFill="1" applyFont="1">
      <alignment horizontal="center" readingOrder="0"/>
    </xf>
    <xf borderId="0" fillId="0" fontId="9" numFmtId="0" xfId="0" applyFont="1"/>
    <xf borderId="2" fillId="6" fontId="10" numFmtId="0" xfId="0" applyAlignment="1" applyBorder="1" applyFill="1" applyFont="1">
      <alignment horizontal="center" shrinkToFit="0" vertical="center" wrapText="1"/>
    </xf>
    <xf borderId="1" fillId="7" fontId="11" numFmtId="0" xfId="0" applyAlignment="1" applyBorder="1" applyFill="1" applyFont="1">
      <alignment horizontal="center" shrinkToFit="0" wrapText="1"/>
    </xf>
    <xf borderId="1" fillId="0" fontId="12" numFmtId="0" xfId="0" applyAlignment="1" applyBorder="1" applyFont="1">
      <alignment horizontal="center" shrinkToFit="0" wrapText="1"/>
    </xf>
    <xf borderId="1" fillId="7" fontId="4" numFmtId="0" xfId="0" applyAlignment="1" applyBorder="1" applyFill="1" applyFont="1">
      <alignment vertical="bottom"/>
    </xf>
    <xf borderId="1" fillId="3" fontId="12" numFmtId="0" xfId="0" applyAlignment="1" applyBorder="1" applyFill="1" applyFont="1">
      <alignment horizontal="center" shrinkToFit="0" vertical="center" wrapText="1"/>
    </xf>
    <xf borderId="2" fillId="7" fontId="13" numFmtId="0" xfId="0" applyAlignment="1" applyBorder="1" applyFill="1" applyFont="1">
      <alignment horizontal="center" shrinkToFit="0" wrapText="1"/>
    </xf>
    <xf borderId="1" fillId="0" fontId="12" numFmtId="0" xfId="0" applyAlignment="1" applyBorder="1" applyFont="1">
      <alignment horizontal="center" shrinkToFit="0" vertical="center" wrapText="1"/>
    </xf>
    <xf borderId="1" fillId="7" fontId="4" numFmtId="0" xfId="0" applyBorder="1" applyFill="1" applyFont="1"/>
    <xf borderId="7" fillId="0" fontId="7" numFmtId="0" xfId="0" applyBorder="1" applyFont="1"/>
    <xf borderId="8" fillId="7" fontId="4" numFmtId="0" xfId="0" applyAlignment="1" applyBorder="1" applyFill="1" applyFont="1">
      <alignment vertical="bottom"/>
    </xf>
    <xf borderId="9" fillId="8" fontId="10" numFmtId="0" xfId="0" applyAlignment="1" applyBorder="1" applyFill="1" applyFont="1">
      <alignment horizontal="center" shrinkToFit="0" wrapText="1"/>
    </xf>
    <xf borderId="1" fillId="8" fontId="4" numFmtId="0" xfId="0" applyAlignment="1" applyBorder="1" applyFill="1" applyFont="1">
      <alignment vertical="bottom"/>
    </xf>
    <xf borderId="2" fillId="8" fontId="13" numFmtId="0" xfId="0" applyAlignment="1" applyBorder="1" applyFill="1" applyFont="1">
      <alignment horizontal="center" shrinkToFit="0" wrapText="1"/>
    </xf>
    <xf borderId="10" fillId="0" fontId="7" numFmtId="0" xfId="0" applyBorder="1" applyFont="1"/>
    <xf borderId="2" fillId="2" fontId="3" numFmtId="0" xfId="0" applyAlignment="1" applyBorder="1" applyFill="1" applyFont="1">
      <alignment horizontal="center" readingOrder="0" shrinkToFit="0" vertical="center" wrapText="1"/>
    </xf>
    <xf borderId="1" fillId="0" fontId="14" numFmtId="0" xfId="0" applyAlignment="1" applyBorder="1" applyFont="1">
      <alignment horizontal="center" shrinkToFit="0" vertical="center" wrapText="1"/>
    </xf>
    <xf borderId="2" fillId="6" fontId="10" numFmtId="0" xfId="0" applyAlignment="1" applyBorder="1" applyFill="1" applyFont="1">
      <alignment horizontal="center" shrinkToFit="0" wrapText="1"/>
    </xf>
    <xf borderId="1" fillId="0" fontId="12" numFmtId="164" xfId="0" applyAlignment="1" applyBorder="1" applyFont="1" applyNumberFormat="1">
      <alignment horizontal="center" shrinkToFit="0" vertical="center" wrapText="1"/>
    </xf>
    <xf borderId="1" fillId="3" fontId="12" numFmtId="164" xfId="0" applyAlignment="1" applyBorder="1" applyFill="1" applyFont="1" applyNumberFormat="1">
      <alignment horizontal="center" shrinkToFit="0" vertical="center" wrapText="1"/>
    </xf>
    <xf borderId="8" fillId="7" fontId="15" numFmtId="0" xfId="0" applyAlignment="1" applyBorder="1" applyFill="1" applyFont="1">
      <alignment horizontal="center" shrinkToFit="0" vertical="bottom" wrapText="1"/>
    </xf>
    <xf borderId="1" fillId="0" fontId="1" numFmtId="0" xfId="0" applyAlignment="1" applyBorder="1" applyFont="1">
      <alignment readingOrder="0"/>
    </xf>
    <xf borderId="8" fillId="7" fontId="15" numFmtId="0" xfId="0" applyAlignment="1" applyBorder="1" applyFill="1" applyFont="1">
      <alignment horizontal="center" shrinkToFit="0" wrapText="1"/>
    </xf>
    <xf borderId="1" fillId="7" fontId="15" numFmtId="0" xfId="0" applyAlignment="1" applyBorder="1" applyFill="1" applyFont="1">
      <alignment horizontal="center" shrinkToFit="0" wrapText="1"/>
    </xf>
    <xf borderId="1" fillId="0" fontId="12" numFmtId="3" xfId="0" applyAlignment="1" applyBorder="1" applyFont="1" applyNumberFormat="1">
      <alignment horizontal="center" shrinkToFit="0" vertical="center" wrapText="1"/>
    </xf>
    <xf borderId="1" fillId="7" fontId="15" numFmtId="0" xfId="0" applyAlignment="1" applyBorder="1" applyFill="1" applyFont="1">
      <alignment horizontal="center" shrinkToFit="0" vertical="center" wrapText="1"/>
    </xf>
    <xf borderId="8" fillId="7" fontId="16" numFmtId="0" xfId="0" applyAlignment="1" applyBorder="1" applyFill="1" applyFont="1">
      <alignment horizontal="center"/>
    </xf>
    <xf borderId="1" fillId="7" fontId="16" numFmtId="0" xfId="0" applyAlignment="1" applyBorder="1" applyFill="1" applyFont="1">
      <alignment horizontal="center"/>
    </xf>
    <xf borderId="1" fillId="7" fontId="15" numFmtId="0" xfId="0" applyAlignment="1" applyBorder="1" applyFill="1" applyFont="1">
      <alignment horizontal="center" shrinkToFit="0" vertical="bottom" wrapText="1"/>
    </xf>
    <xf borderId="1" fillId="0" fontId="1" numFmtId="0" xfId="0" applyAlignment="1" applyBorder="1" applyFont="1">
      <alignment readingOrder="0" shrinkToFit="0" wrapText="1"/>
    </xf>
    <xf borderId="1" fillId="9" fontId="15" numFmtId="0" xfId="0" applyAlignment="1" applyBorder="1" applyFill="1" applyFont="1">
      <alignment horizontal="center" shrinkToFit="0" vertical="bottom" wrapText="1"/>
    </xf>
    <xf borderId="11" fillId="9" fontId="16" numFmtId="0" xfId="0" applyAlignment="1" applyBorder="1" applyFill="1" applyFont="1">
      <alignment horizontal="center" vertical="bottom"/>
    </xf>
    <xf borderId="1" fillId="9" fontId="16" numFmtId="0" xfId="0" applyAlignment="1" applyBorder="1" applyFill="1" applyFont="1">
      <alignment horizontal="center" vertical="bottom"/>
    </xf>
    <xf borderId="1" fillId="9" fontId="13" numFmtId="0" xfId="0" applyAlignment="1" applyBorder="1" applyFill="1" applyFont="1">
      <alignment horizontal="center" shrinkToFit="0" vertical="bottom" wrapText="1"/>
    </xf>
    <xf borderId="1" fillId="10" fontId="15" numFmtId="0" xfId="0" applyAlignment="1" applyBorder="1" applyFill="1" applyFont="1">
      <alignment horizontal="center" shrinkToFit="0" vertical="bottom" wrapText="1"/>
    </xf>
    <xf borderId="2" fillId="10" fontId="13" numFmtId="0" xfId="0" applyAlignment="1" applyBorder="1" applyFill="1" applyFont="1">
      <alignment horizontal="center" shrinkToFit="0" wrapText="1"/>
    </xf>
    <xf borderId="2" fillId="8" fontId="10" numFmtId="0" xfId="0" applyAlignment="1" applyBorder="1" applyFill="1" applyFont="1">
      <alignment horizontal="center" shrinkToFit="0" wrapText="1"/>
    </xf>
    <xf borderId="1" fillId="8" fontId="15" numFmtId="0" xfId="0" applyAlignment="1" applyBorder="1" applyFill="1" applyFont="1">
      <alignment horizontal="center" shrinkToFit="0" wrapText="1"/>
    </xf>
    <xf borderId="2" fillId="8" fontId="13" numFmtId="16" xfId="0" applyAlignment="1" applyBorder="1" applyFill="1" applyFont="1" applyNumberFormat="1">
      <alignment horizontal="center" shrinkToFit="0" wrapText="1"/>
    </xf>
    <xf borderId="1" fillId="8" fontId="15" numFmtId="0" xfId="0" applyAlignment="1" applyBorder="1" applyFill="1" applyFont="1">
      <alignment horizontal="center" vertical="bottom"/>
    </xf>
    <xf borderId="1" fillId="8" fontId="15" numFmtId="0" xfId="0" applyAlignment="1" applyBorder="1" applyFill="1" applyFont="1">
      <alignment horizontal="center" shrinkToFit="0" vertical="bottom" wrapText="1"/>
    </xf>
    <xf borderId="1" fillId="8" fontId="16" numFmtId="0" xfId="0" applyAlignment="1" applyBorder="1" applyFill="1" applyFont="1">
      <alignment horizontal="center" vertical="bottom"/>
    </xf>
    <xf borderId="1" fillId="3" fontId="12" numFmtId="3" xfId="0" applyAlignment="1" applyBorder="1" applyFill="1" applyFont="1" applyNumberFormat="1">
      <alignment horizontal="center" shrinkToFit="0" vertical="center" wrapText="1"/>
    </xf>
    <xf borderId="0" fillId="0" fontId="1" numFmtId="0" xfId="0" applyAlignment="1" applyFont="1">
      <alignment readingOrder="0" vertical="center"/>
    </xf>
    <xf borderId="1" fillId="3" fontId="17" numFmtId="0" xfId="0" applyAlignment="1" applyBorder="1" applyFill="1" applyFont="1">
      <alignment horizontal="center" shrinkToFit="0" vertical="center" wrapText="1"/>
    </xf>
    <xf borderId="1" fillId="11" fontId="3" numFmtId="16" xfId="0" applyAlignment="1" applyBorder="1" applyFill="1" applyFont="1" applyNumberFormat="1">
      <alignment horizontal="center" shrinkToFit="0" vertical="bottom" wrapText="1"/>
    </xf>
    <xf borderId="1" fillId="11" fontId="4" numFmtId="16" xfId="0" applyAlignment="1" applyBorder="1" applyFill="1" applyFont="1" applyNumberFormat="1">
      <alignment vertical="bottom"/>
    </xf>
    <xf borderId="1" fillId="7" fontId="18" numFmtId="0" xfId="0" applyBorder="1" applyFill="1" applyFont="1"/>
    <xf borderId="1" fillId="7" fontId="11" numFmtId="0" xfId="0" applyAlignment="1" applyBorder="1" applyFill="1" applyFont="1">
      <alignment horizontal="center" shrinkToFit="0" vertical="bottom" wrapText="1"/>
    </xf>
    <xf borderId="8" fillId="7" fontId="18" numFmtId="0" xfId="0" applyBorder="1" applyFill="1" applyFont="1"/>
    <xf borderId="1" fillId="7" fontId="13" numFmtId="0" xfId="0" applyAlignment="1" applyBorder="1" applyFill="1" applyFont="1">
      <alignment horizontal="center" shrinkToFit="0" wrapText="1"/>
    </xf>
    <xf borderId="11" fillId="12" fontId="11" numFmtId="0" xfId="0" applyAlignment="1" applyBorder="1" applyFill="1" applyFont="1">
      <alignment horizontal="center" shrinkToFit="0" wrapText="1"/>
    </xf>
    <xf borderId="12" fillId="12" fontId="19" numFmtId="0" xfId="0" applyAlignment="1" applyBorder="1" applyFill="1" applyFont="1">
      <alignment horizontal="center" shrinkToFit="0" vertical="center" wrapText="1"/>
    </xf>
    <xf borderId="11" fillId="12" fontId="18" numFmtId="0" xfId="0" applyBorder="1" applyFill="1" applyFont="1"/>
    <xf borderId="1" fillId="3" fontId="12" numFmtId="0" xfId="0" applyAlignment="1" applyBorder="1" applyFill="1" applyFont="1">
      <alignment horizontal="center" shrinkToFit="0" wrapText="1"/>
    </xf>
    <xf borderId="12" fillId="0" fontId="7" numFmtId="0" xfId="0" applyBorder="1" applyFont="1"/>
    <xf borderId="1" fillId="3" fontId="12" numFmtId="49" xfId="0" applyAlignment="1" applyBorder="1" applyFill="1" applyFont="1" applyNumberFormat="1">
      <alignment horizontal="center" shrinkToFit="0" wrapText="1"/>
    </xf>
    <xf borderId="1" fillId="3" fontId="12" numFmtId="164" xfId="0" applyAlignment="1" applyBorder="1" applyFill="1" applyFont="1" applyNumberFormat="1">
      <alignment horizontal="center" shrinkToFit="0" wrapText="1"/>
    </xf>
    <xf borderId="11" fillId="0" fontId="7" numFmtId="0" xfId="0" applyBorder="1" applyFont="1"/>
    <xf borderId="1" fillId="8" fontId="18" numFmtId="0" xfId="0" applyAlignment="1" applyBorder="1" applyFill="1" applyFont="1">
      <alignment vertical="bottom"/>
    </xf>
    <xf borderId="1" fillId="8" fontId="3" numFmtId="0" xfId="0" applyAlignment="1" applyBorder="1" applyFill="1" applyFont="1">
      <alignment horizontal="center" shrinkToFit="0" wrapText="1"/>
    </xf>
    <xf borderId="1" fillId="8" fontId="11" numFmtId="0" xfId="0" applyAlignment="1" applyBorder="1" applyFill="1" applyFont="1">
      <alignment horizontal="center" shrinkToFit="0" vertical="bottom" wrapText="1"/>
    </xf>
    <xf borderId="1" fillId="8" fontId="13" numFmtId="16" xfId="0" applyAlignment="1" applyBorder="1" applyFill="1" applyFont="1" applyNumberFormat="1">
      <alignment horizontal="center" shrinkToFit="0" vertical="bottom" wrapText="1"/>
    </xf>
    <xf borderId="1" fillId="3" fontId="20" numFmtId="0" xfId="0" applyAlignment="1" applyBorder="1" applyFill="1" applyFont="1">
      <alignment horizontal="center" shrinkToFit="0" wrapText="1"/>
    </xf>
    <xf borderId="1" fillId="13" fontId="18" numFmtId="0" xfId="0" applyAlignment="1" applyBorder="1" applyFill="1" applyFont="1">
      <alignment vertical="bottom"/>
    </xf>
    <xf borderId="1" fillId="13" fontId="3" numFmtId="0" xfId="0" applyAlignment="1" applyBorder="1" applyFill="1" applyFont="1">
      <alignment horizontal="center" readingOrder="0" shrinkToFit="0" wrapText="1"/>
    </xf>
    <xf borderId="1" fillId="13" fontId="16" numFmtId="0" xfId="0" applyAlignment="1" applyBorder="1" applyFill="1" applyFont="1">
      <alignment vertical="bottom"/>
    </xf>
    <xf borderId="1" fillId="13" fontId="18" numFmtId="0" xfId="0" applyAlignment="1" applyBorder="1" applyFill="1" applyFont="1">
      <alignment horizontal="center" shrinkToFit="0" vertical="bottom" wrapText="1"/>
    </xf>
    <xf borderId="1" fillId="14" fontId="3" numFmtId="0" xfId="0" applyAlignment="1" applyBorder="1" applyFill="1" applyFont="1">
      <alignment shrinkToFit="0" vertical="bottom" wrapText="1"/>
    </xf>
    <xf borderId="1" fillId="14" fontId="18" numFmtId="0" xfId="0" applyAlignment="1" applyBorder="1" applyFill="1" applyFont="1">
      <alignment vertical="bottom"/>
    </xf>
    <xf borderId="1" fillId="14" fontId="16" numFmtId="0" xfId="0" applyAlignment="1" applyBorder="1" applyFill="1" applyFont="1">
      <alignment vertical="bottom"/>
    </xf>
    <xf borderId="2" fillId="14" fontId="18" numFmtId="0" xfId="0" applyAlignment="1" applyBorder="1" applyFill="1" applyFont="1">
      <alignment horizontal="center" shrinkToFit="0" wrapText="1"/>
    </xf>
    <xf borderId="1" fillId="3" fontId="12" numFmtId="49" xfId="0" applyAlignment="1" applyBorder="1" applyFill="1" applyFont="1" applyNumberFormat="1">
      <alignment horizontal="center" shrinkToFit="0" vertical="center" wrapText="1"/>
    </xf>
    <xf borderId="1" fillId="0" fontId="12" numFmtId="164" xfId="0" applyAlignment="1" applyBorder="1" applyFont="1" applyNumberFormat="1">
      <alignment horizontal="center" shrinkToFit="0" wrapText="1"/>
    </xf>
    <xf borderId="1" fillId="8" fontId="21" numFmtId="0" xfId="0" applyAlignment="1" applyBorder="1" applyFill="1" applyFont="1">
      <alignment shrinkToFit="0" vertical="bottom" wrapText="1"/>
    </xf>
    <xf borderId="1" fillId="13" fontId="4" numFmtId="0" xfId="0" applyAlignment="1" applyBorder="1" applyFill="1" applyFont="1">
      <alignment vertical="bottom"/>
    </xf>
    <xf borderId="1" fillId="14" fontId="4" numFmtId="0" xfId="0" applyAlignment="1" applyBorder="1" applyFill="1" applyFont="1">
      <alignment vertical="bottom"/>
    </xf>
    <xf borderId="1" fillId="0" fontId="12" numFmtId="49" xfId="0" applyAlignment="1" applyBorder="1" applyFont="1" applyNumberFormat="1">
      <alignment horizontal="center" shrinkToFit="0" vertical="center" wrapText="1"/>
    </xf>
    <xf borderId="1" fillId="14" fontId="18" numFmtId="0" xfId="0" applyAlignment="1" applyBorder="1" applyFill="1" applyFont="1">
      <alignment horizontal="center" shrinkToFit="0" vertical="bottom" wrapText="1"/>
    </xf>
    <xf borderId="1" fillId="0" fontId="22" numFmtId="0" xfId="0" applyAlignment="1" applyBorder="1" applyFont="1">
      <alignment horizontal="center" shrinkToFit="0" wrapText="1"/>
    </xf>
    <xf borderId="1" fillId="0" fontId="22" numFmtId="0" xfId="0" applyAlignment="1" applyBorder="1" applyFont="1">
      <alignment horizontal="center" shrinkToFit="0" vertical="center" wrapText="1"/>
    </xf>
    <xf borderId="1" fillId="3" fontId="22" numFmtId="0" xfId="0" applyAlignment="1" applyBorder="1" applyFill="1" applyFont="1">
      <alignment horizontal="center" shrinkToFit="0" vertical="center" wrapText="1"/>
    </xf>
    <xf borderId="1" fillId="0" fontId="22" numFmtId="3" xfId="0" applyAlignment="1" applyBorder="1" applyFont="1" applyNumberFormat="1">
      <alignment horizontal="center" shrinkToFit="0" vertical="center" wrapText="1"/>
    </xf>
    <xf borderId="1" fillId="3" fontId="23" numFmtId="0" xfId="0" applyAlignment="1" applyBorder="1" applyFill="1" applyFont="1">
      <alignment horizontal="center" shrinkToFit="0" vertical="center" wrapText="1"/>
    </xf>
    <xf borderId="1" fillId="3" fontId="22" numFmtId="49" xfId="0" applyAlignment="1" applyBorder="1" applyFill="1" applyFont="1" applyNumberFormat="1">
      <alignment horizontal="center" shrinkToFit="0" vertical="center" wrapText="1"/>
    </xf>
    <xf borderId="1" fillId="3" fontId="22" numFmtId="164" xfId="0" applyAlignment="1" applyBorder="1" applyFill="1" applyFont="1" applyNumberFormat="1">
      <alignment horizontal="center" shrinkToFit="0" vertical="center" wrapText="1"/>
    </xf>
    <xf borderId="1" fillId="0" fontId="22" numFmtId="164" xfId="0" applyAlignment="1" applyBorder="1" applyFont="1" applyNumberFormat="1">
      <alignment horizontal="center" shrinkToFit="0" wrapText="1"/>
    </xf>
    <xf borderId="1" fillId="0" fontId="24" numFmtId="0" xfId="0" applyAlignment="1" applyBorder="1" applyFont="1">
      <alignment readingOrder="0" shrinkToFit="0" wrapText="1"/>
    </xf>
    <xf borderId="0" fillId="0" fontId="24" numFmtId="0" xfId="0" applyFont="1"/>
    <xf borderId="1" fillId="3" fontId="12" numFmtId="3" xfId="0" applyAlignment="1" applyBorder="1" applyFill="1" applyFont="1" applyNumberFormat="1">
      <alignment horizontal="center" shrinkToFit="0" wrapText="1"/>
    </xf>
    <xf borderId="1" fillId="0" fontId="12" numFmtId="0" xfId="0" applyAlignment="1" applyBorder="1" applyFont="1">
      <alignment horizontal="center" shrinkToFit="1" vertical="center" wrapText="0"/>
    </xf>
    <xf borderId="1" fillId="0" fontId="12" numFmtId="165" xfId="0" applyAlignment="1" applyBorder="1" applyFont="1" applyNumberFormat="1">
      <alignment horizontal="center" shrinkToFit="0" wrapText="1"/>
    </xf>
    <xf borderId="1" fillId="0" fontId="12" numFmtId="166" xfId="0" applyAlignment="1" applyBorder="1" applyFont="1" applyNumberFormat="1">
      <alignment horizontal="center" shrinkToFit="0" wrapText="1"/>
    </xf>
    <xf borderId="1" fillId="0" fontId="12" numFmtId="166" xfId="0" applyAlignment="1" applyBorder="1" applyFont="1" applyNumberFormat="1">
      <alignment horizontal="center" shrinkToFit="0" vertical="center" wrapText="1"/>
    </xf>
    <xf borderId="1" fillId="0" fontId="12" numFmtId="165" xfId="0" applyAlignment="1" applyBorder="1" applyFont="1" applyNumberFormat="1">
      <alignment horizontal="center" shrinkToFit="0" vertical="center" wrapText="1"/>
    </xf>
    <xf borderId="1" fillId="0" fontId="25" numFmtId="0" xfId="0" applyAlignment="1" applyBorder="1" applyFont="1">
      <alignment horizontal="center" shrinkToFit="0" wrapText="1"/>
    </xf>
    <xf borderId="1" fillId="0" fontId="26" numFmtId="0" xfId="0" applyAlignment="1" applyBorder="1" applyFont="1">
      <alignment horizontal="center" shrinkToFit="0" wrapText="1"/>
    </xf>
    <xf borderId="1" fillId="3" fontId="26" numFmtId="0" xfId="0" applyAlignment="1" applyBorder="1" applyFill="1" applyFont="1">
      <alignment horizontal="center" shrinkToFit="0" vertical="center" wrapText="1"/>
    </xf>
    <xf borderId="1" fillId="0" fontId="26" numFmtId="165" xfId="0" applyAlignment="1" applyBorder="1" applyFont="1" applyNumberFormat="1">
      <alignment horizontal="center" shrinkToFit="0" wrapText="1"/>
    </xf>
    <xf borderId="1" fillId="0" fontId="27" numFmtId="0" xfId="0" applyAlignment="1" applyBorder="1" applyFont="1">
      <alignment readingOrder="0" shrinkToFit="0" wrapText="1"/>
    </xf>
    <xf borderId="0" fillId="0" fontId="27" numFmtId="0" xfId="0" applyFont="1"/>
    <xf borderId="1" fillId="0" fontId="12" numFmtId="2" xfId="0" applyAlignment="1" applyBorder="1" applyFont="1" applyNumberFormat="1">
      <alignment horizontal="center" shrinkToFit="0" wrapText="1"/>
    </xf>
    <xf borderId="1" fillId="0" fontId="12" numFmtId="3" xfId="0" applyAlignment="1" applyBorder="1" applyFont="1" applyNumberFormat="1">
      <alignment horizontal="center" shrinkToFit="0" wrapText="1"/>
    </xf>
    <xf borderId="1" fillId="0" fontId="12" numFmtId="167" xfId="0" applyAlignment="1" applyBorder="1" applyFont="1" applyNumberFormat="1">
      <alignment horizontal="center" shrinkToFit="0" wrapText="1"/>
    </xf>
    <xf borderId="1" fillId="0" fontId="12" numFmtId="1" xfId="0" applyAlignment="1" applyBorder="1" applyFont="1" applyNumberFormat="1">
      <alignment horizontal="center" shrinkToFit="0" vertical="center" wrapText="1"/>
    </xf>
    <xf borderId="1" fillId="3" fontId="12" numFmtId="165" xfId="0" applyAlignment="1" applyBorder="1" applyFill="1" applyFont="1" applyNumberFormat="1">
      <alignment horizontal="center" shrinkToFit="0" vertical="top" wrapText="1"/>
    </xf>
    <xf borderId="1" fillId="0" fontId="26" numFmtId="0" xfId="0" applyAlignment="1" applyBorder="1" applyFont="1">
      <alignment horizontal="center" shrinkToFit="0" vertical="center" wrapText="1"/>
    </xf>
    <xf borderId="1" fillId="0" fontId="26" numFmtId="165" xfId="0" applyAlignment="1" applyBorder="1" applyFont="1" applyNumberFormat="1">
      <alignment horizontal="center" shrinkToFit="0" vertical="center" wrapText="1"/>
    </xf>
    <xf borderId="1" fillId="0" fontId="26" numFmtId="164" xfId="0" applyAlignment="1" applyBorder="1" applyFont="1" applyNumberFormat="1">
      <alignment horizontal="center" shrinkToFit="0" vertical="center" wrapText="1"/>
    </xf>
    <xf borderId="1" fillId="0" fontId="27" numFmtId="0" xfId="0" applyAlignment="1" applyBorder="1" applyFont="1">
      <alignment readingOrder="0"/>
    </xf>
    <xf borderId="1" fillId="3" fontId="26" numFmtId="0" xfId="0" applyAlignment="1" applyBorder="1" applyFill="1" applyFont="1">
      <alignment horizontal="center" shrinkToFit="0" wrapText="1"/>
    </xf>
    <xf borderId="1" fillId="0" fontId="26" numFmtId="165" xfId="0" applyAlignment="1" applyBorder="1" applyFont="1" applyNumberFormat="1">
      <alignment horizontal="center" shrinkToFit="0" vertical="top" wrapText="1"/>
    </xf>
    <xf borderId="1" fillId="0" fontId="26" numFmtId="3" xfId="0" applyAlignment="1" applyBorder="1" applyFont="1" applyNumberFormat="1">
      <alignment horizontal="center" shrinkToFit="0" vertical="center" wrapText="1"/>
    </xf>
    <xf borderId="1" fillId="0" fontId="28" numFmtId="0" xfId="0" applyAlignment="1" applyBorder="1" applyFont="1">
      <alignment horizontal="center" shrinkToFit="0" vertical="center" wrapText="1"/>
    </xf>
    <xf borderId="1" fillId="3" fontId="12" numFmtId="0" xfId="0" applyAlignment="1" applyBorder="1" applyFill="1" applyFont="1">
      <alignment horizontal="center" readingOrder="0" shrinkToFit="0" wrapText="1"/>
    </xf>
    <xf borderId="1" fillId="0" fontId="26" numFmtId="3" xfId="0" applyAlignment="1" applyBorder="1" applyFont="1" applyNumberFormat="1">
      <alignment horizontal="center" shrinkToFit="0" wrapText="1"/>
    </xf>
    <xf borderId="1" fillId="0" fontId="29" numFmtId="0" xfId="0" applyAlignment="1" applyBorder="1" applyFont="1">
      <alignment horizontal="center" shrinkToFit="0" wrapText="1"/>
    </xf>
    <xf borderId="1" fillId="0" fontId="26" numFmtId="164" xfId="0" applyAlignment="1" applyBorder="1" applyFont="1" applyNumberFormat="1">
      <alignment horizontal="center" shrinkToFit="0" wrapText="1"/>
    </xf>
    <xf borderId="1" fillId="0" fontId="26" numFmtId="0" xfId="0" applyAlignment="1" applyBorder="1" applyFont="1">
      <alignment horizontal="center" readingOrder="0" shrinkToFit="0" wrapText="1"/>
    </xf>
    <xf borderId="1" fillId="0" fontId="12" numFmtId="0" xfId="0" applyAlignment="1" applyBorder="1" applyFont="1">
      <alignment horizontal="center" readingOrder="0" shrinkToFit="0" wrapText="1"/>
    </xf>
    <xf borderId="1" fillId="0" fontId="12" numFmtId="17" xfId="0" applyAlignment="1" applyBorder="1" applyFont="1" applyNumberFormat="1">
      <alignment horizontal="center" shrinkToFit="0" wrapText="1"/>
    </xf>
    <xf borderId="1" fillId="15" fontId="12" numFmtId="0" xfId="0" applyAlignment="1" applyBorder="1" applyFill="1" applyFont="1">
      <alignment horizontal="center" shrinkToFit="0" wrapText="1"/>
    </xf>
    <xf borderId="1" fillId="15" fontId="12" numFmtId="0" xfId="0" applyAlignment="1" applyBorder="1" applyFill="1" applyFont="1">
      <alignment horizontal="center" shrinkToFit="0" vertical="center" wrapText="1"/>
    </xf>
    <xf borderId="1" fillId="15" fontId="12" numFmtId="164" xfId="0" applyAlignment="1" applyBorder="1" applyFill="1" applyFont="1" applyNumberFormat="1">
      <alignment horizontal="center" shrinkToFit="0" vertical="center" wrapText="1"/>
    </xf>
    <xf borderId="1" fillId="15" fontId="12" numFmtId="164" xfId="0" applyAlignment="1" applyBorder="1" applyFill="1" applyFont="1" applyNumberFormat="1">
      <alignment horizontal="center" shrinkToFit="0" wrapText="1"/>
    </xf>
    <xf borderId="1" fillId="0" fontId="12" numFmtId="167" xfId="0" applyAlignment="1" applyBorder="1" applyFont="1" applyNumberFormat="1">
      <alignment horizontal="center" shrinkToFit="0" vertical="center" wrapText="1"/>
    </xf>
    <xf borderId="1" fillId="15" fontId="12" numFmtId="167" xfId="0" applyAlignment="1" applyBorder="1" applyFill="1" applyFont="1" applyNumberFormat="1">
      <alignment horizontal="center" shrinkToFit="0" vertical="center" wrapText="1"/>
    </xf>
    <xf borderId="1" fillId="15" fontId="26" numFmtId="164" xfId="0" applyAlignment="1" applyBorder="1" applyFill="1" applyFont="1" applyNumberFormat="1">
      <alignment horizontal="center" shrinkToFit="0" vertical="center" wrapText="1"/>
    </xf>
    <xf borderId="1" fillId="15" fontId="26" numFmtId="164" xfId="0" applyAlignment="1" applyBorder="1" applyFill="1" applyFont="1" applyNumberFormat="1">
      <alignment horizontal="center" shrinkToFit="0" wrapText="1"/>
    </xf>
    <xf borderId="1" fillId="15" fontId="12" numFmtId="167" xfId="0" applyAlignment="1" applyBorder="1" applyFill="1" applyFont="1" applyNumberFormat="1">
      <alignment horizontal="center" shrinkToFit="0" wrapText="1"/>
    </xf>
    <xf borderId="1" fillId="15" fontId="12" numFmtId="3" xfId="0" applyAlignment="1" applyBorder="1" applyFill="1" applyFont="1" applyNumberFormat="1">
      <alignment horizontal="center" shrinkToFit="0" vertical="center" wrapText="1"/>
    </xf>
    <xf borderId="2" fillId="0" fontId="1" numFmtId="0" xfId="0" applyAlignment="1" applyBorder="1" applyFont="1">
      <alignment readingOrder="0"/>
    </xf>
    <xf borderId="0" fillId="3" fontId="24"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30330790@cslc.edu.ve" TargetMode="External"/><Relationship Id="rId42" Type="http://schemas.openxmlformats.org/officeDocument/2006/relationships/hyperlink" Target="mailto:Sofialejandrag@gmail.com" TargetMode="External"/><Relationship Id="rId41" Type="http://schemas.openxmlformats.org/officeDocument/2006/relationships/hyperlink" Target="mailto:31423879@cslc.edu.ve" TargetMode="External"/><Relationship Id="rId44" Type="http://schemas.openxmlformats.org/officeDocument/2006/relationships/hyperlink" Target="mailto:paulitosanchezflores@gmail.com" TargetMode="External"/><Relationship Id="rId43" Type="http://schemas.openxmlformats.org/officeDocument/2006/relationships/hyperlink" Target="mailto:valeainoa@gmail.com" TargetMode="External"/><Relationship Id="rId46" Type="http://schemas.openxmlformats.org/officeDocument/2006/relationships/hyperlink" Target="mailto:danielfajardot@hotmail.com" TargetMode="External"/><Relationship Id="rId45" Type="http://schemas.openxmlformats.org/officeDocument/2006/relationships/hyperlink" Target="mailto:mipacanins@gmail.com" TargetMode="External"/><Relationship Id="rId1" Type="http://schemas.openxmlformats.org/officeDocument/2006/relationships/hyperlink" Target="mailto:gabrielazaglieri@gmail.com" TargetMode="External"/><Relationship Id="rId2" Type="http://schemas.openxmlformats.org/officeDocument/2006/relationships/hyperlink" Target="http://windealex21032gmail.com/" TargetMode="External"/><Relationship Id="rId3" Type="http://schemas.openxmlformats.org/officeDocument/2006/relationships/hyperlink" Target="mailto:alejandraiglesiaslabrador@yahoo.com" TargetMode="External"/><Relationship Id="rId4" Type="http://schemas.openxmlformats.org/officeDocument/2006/relationships/hyperlink" Target="mailto:paulaiturriza2012@gmail.com" TargetMode="External"/><Relationship Id="rId9" Type="http://schemas.openxmlformats.org/officeDocument/2006/relationships/hyperlink" Target="mailto:ss.pereira.vzla@gmail.com" TargetMode="External"/><Relationship Id="rId48" Type="http://schemas.openxmlformats.org/officeDocument/2006/relationships/hyperlink" Target="mailto:josealtommy@hoymail.com" TargetMode="External"/><Relationship Id="rId47" Type="http://schemas.openxmlformats.org/officeDocument/2006/relationships/hyperlink" Target="mailto:Luisangely.ochoa1610@gmail.com" TargetMode="External"/><Relationship Id="rId49" Type="http://schemas.openxmlformats.org/officeDocument/2006/relationships/hyperlink" Target="mailto:labebehermosa75@gmail.com" TargetMode="External"/><Relationship Id="rId5" Type="http://schemas.openxmlformats.org/officeDocument/2006/relationships/hyperlink" Target="mailto:alexandraoramasrv@gmail.com" TargetMode="External"/><Relationship Id="rId6" Type="http://schemas.openxmlformats.org/officeDocument/2006/relationships/hyperlink" Target="mailto:maripaquin0831@gmail.com" TargetMode="External"/><Relationship Id="rId7" Type="http://schemas.openxmlformats.org/officeDocument/2006/relationships/hyperlink" Target="mailto:camiladelimag@gmail.com" TargetMode="External"/><Relationship Id="rId8" Type="http://schemas.openxmlformats.org/officeDocument/2006/relationships/hyperlink" Target="mailto:lenytarazona@gmail.com" TargetMode="External"/><Relationship Id="rId73" Type="http://schemas.openxmlformats.org/officeDocument/2006/relationships/hyperlink" Target="mailto:camilariossjt26@gmail.com" TargetMode="External"/><Relationship Id="rId72" Type="http://schemas.openxmlformats.org/officeDocument/2006/relationships/hyperlink" Target="mailto:rodrigo.tabata26@gmail.com" TargetMode="External"/><Relationship Id="rId31" Type="http://schemas.openxmlformats.org/officeDocument/2006/relationships/hyperlink" Target="mailto:frelliany202@gmail.com" TargetMode="External"/><Relationship Id="rId30" Type="http://schemas.openxmlformats.org/officeDocument/2006/relationships/hyperlink" Target="mailto:infanteanil@gmail.com" TargetMode="External"/><Relationship Id="rId74" Type="http://schemas.openxmlformats.org/officeDocument/2006/relationships/drawing" Target="../drawings/drawing1.xml"/><Relationship Id="rId33" Type="http://schemas.openxmlformats.org/officeDocument/2006/relationships/hyperlink" Target="mailto:alianzaespirieterna@gmail.com" TargetMode="External"/><Relationship Id="rId32" Type="http://schemas.openxmlformats.org/officeDocument/2006/relationships/hyperlink" Target="mailto:buky1c@gmail.com" TargetMode="External"/><Relationship Id="rId35" Type="http://schemas.openxmlformats.org/officeDocument/2006/relationships/hyperlink" Target="mailto:naboyanki@gmail.com" TargetMode="External"/><Relationship Id="rId34" Type="http://schemas.openxmlformats.org/officeDocument/2006/relationships/hyperlink" Target="mailto:natashagomes05@gmail.com" TargetMode="External"/><Relationship Id="rId71" Type="http://schemas.openxmlformats.org/officeDocument/2006/relationships/hyperlink" Target="mailto:joseagd0909@gmail.com" TargetMode="External"/><Relationship Id="rId70" Type="http://schemas.openxmlformats.org/officeDocument/2006/relationships/hyperlink" Target="mailto:sofibricgo@gmail.com" TargetMode="External"/><Relationship Id="rId37" Type="http://schemas.openxmlformats.org/officeDocument/2006/relationships/hyperlink" Target="mailto:kengerg08@gmail.com" TargetMode="External"/><Relationship Id="rId36" Type="http://schemas.openxmlformats.org/officeDocument/2006/relationships/hyperlink" Target="mailto:iannimarianni@gmail.com" TargetMode="External"/><Relationship Id="rId39" Type="http://schemas.openxmlformats.org/officeDocument/2006/relationships/hyperlink" Target="mailto:amandalopez.al37@gmail.com" TargetMode="External"/><Relationship Id="rId38" Type="http://schemas.openxmlformats.org/officeDocument/2006/relationships/hyperlink" Target="mailto:ericgomesreal@gmail.com" TargetMode="External"/><Relationship Id="rId62" Type="http://schemas.openxmlformats.org/officeDocument/2006/relationships/hyperlink" Target="mailto:gabogamer30600@gmail.com" TargetMode="External"/><Relationship Id="rId61" Type="http://schemas.openxmlformats.org/officeDocument/2006/relationships/hyperlink" Target="about:blank" TargetMode="External"/><Relationship Id="rId20" Type="http://schemas.openxmlformats.org/officeDocument/2006/relationships/hyperlink" Target="mailto:saucofonseca@gmail.com" TargetMode="External"/><Relationship Id="rId64" Type="http://schemas.openxmlformats.org/officeDocument/2006/relationships/hyperlink" Target="mailto:andrestorrellas2707@gmail.com" TargetMode="External"/><Relationship Id="rId63" Type="http://schemas.openxmlformats.org/officeDocument/2006/relationships/hyperlink" Target="mailto:jdanieltorogcva@gmail.com" TargetMode="External"/><Relationship Id="rId22" Type="http://schemas.openxmlformats.org/officeDocument/2006/relationships/hyperlink" Target="mailto:mallo8a@gmail.com" TargetMode="External"/><Relationship Id="rId66" Type="http://schemas.openxmlformats.org/officeDocument/2006/relationships/hyperlink" Target="mailto:sebastian7sotto7@gmail.com" TargetMode="External"/><Relationship Id="rId21" Type="http://schemas.openxmlformats.org/officeDocument/2006/relationships/hyperlink" Target="mailto:Carogonza1105@gmail.com" TargetMode="External"/><Relationship Id="rId65" Type="http://schemas.openxmlformats.org/officeDocument/2006/relationships/hyperlink" Target="mailto:mariamnavarro2005@gmail.com" TargetMode="External"/><Relationship Id="rId24" Type="http://schemas.openxmlformats.org/officeDocument/2006/relationships/hyperlink" Target="mailto:karlagcscipione@gmail.com" TargetMode="External"/><Relationship Id="rId68" Type="http://schemas.openxmlformats.org/officeDocument/2006/relationships/hyperlink" Target="mailto:tuutula@gmail.com" TargetMode="External"/><Relationship Id="rId23" Type="http://schemas.openxmlformats.org/officeDocument/2006/relationships/hyperlink" Target="mailto:danielamontoya73@gmail.com" TargetMode="External"/><Relationship Id="rId67" Type="http://schemas.openxmlformats.org/officeDocument/2006/relationships/hyperlink" Target="mailto:iius91107@gmail.com" TargetMode="External"/><Relationship Id="rId60" Type="http://schemas.openxmlformats.org/officeDocument/2006/relationships/hyperlink" Target="about:blank" TargetMode="External"/><Relationship Id="rId26" Type="http://schemas.openxmlformats.org/officeDocument/2006/relationships/hyperlink" Target="mailto:fatimadecaires@gmail.com" TargetMode="External"/><Relationship Id="rId25" Type="http://schemas.openxmlformats.org/officeDocument/2006/relationships/hyperlink" Target="mailto:valendsm0101@gmail.com" TargetMode="External"/><Relationship Id="rId69" Type="http://schemas.openxmlformats.org/officeDocument/2006/relationships/hyperlink" Target="mailto:tatimendez2502@gmail.com" TargetMode="External"/><Relationship Id="rId28" Type="http://schemas.openxmlformats.org/officeDocument/2006/relationships/hyperlink" Target="mailto:valeelucena1402@gmail.com" TargetMode="External"/><Relationship Id="rId27" Type="http://schemas.openxmlformats.org/officeDocument/2006/relationships/hyperlink" Target="mailto:tviera@venezolano.com" TargetMode="External"/><Relationship Id="rId29" Type="http://schemas.openxmlformats.org/officeDocument/2006/relationships/hyperlink" Target="mailto:andre1dccs@gmail.com" TargetMode="External"/><Relationship Id="rId51" Type="http://schemas.openxmlformats.org/officeDocument/2006/relationships/hyperlink" Target="mailto:alejandroj.torresc@gmail.com" TargetMode="External"/><Relationship Id="rId50" Type="http://schemas.openxmlformats.org/officeDocument/2006/relationships/hyperlink" Target="mailto:alessandra.ruscica@gmail.com" TargetMode="External"/><Relationship Id="rId53" Type="http://schemas.openxmlformats.org/officeDocument/2006/relationships/hyperlink" Target="mailto:alessandracestari317@gmail.com" TargetMode="External"/><Relationship Id="rId52" Type="http://schemas.openxmlformats.org/officeDocument/2006/relationships/hyperlink" Target="mailto:bdebiaggidonis@gmail.com" TargetMode="External"/><Relationship Id="rId11" Type="http://schemas.openxmlformats.org/officeDocument/2006/relationships/hyperlink" Target="mailto:andresale.fq@gmail.com" TargetMode="External"/><Relationship Id="rId55" Type="http://schemas.openxmlformats.org/officeDocument/2006/relationships/hyperlink" Target="mailto:tommygilbravo@gmail.com" TargetMode="External"/><Relationship Id="rId10" Type="http://schemas.openxmlformats.org/officeDocument/2006/relationships/hyperlink" Target="mailto:andre.idler08@gmail.com" TargetMode="External"/><Relationship Id="rId54" Type="http://schemas.openxmlformats.org/officeDocument/2006/relationships/hyperlink" Target="mailto:joserosalesnuevachacao@gmail.com" TargetMode="External"/><Relationship Id="rId13" Type="http://schemas.openxmlformats.org/officeDocument/2006/relationships/hyperlink" Target="mailto:raulperalesfavrin@gmail.com" TargetMode="External"/><Relationship Id="rId57" Type="http://schemas.openxmlformats.org/officeDocument/2006/relationships/hyperlink" Target="mailto:31703954@cslc.edu.ve" TargetMode="External"/><Relationship Id="rId12" Type="http://schemas.openxmlformats.org/officeDocument/2006/relationships/hyperlink" Target="mailto:marylovee214@gmail.com" TargetMode="External"/><Relationship Id="rId56" Type="http://schemas.openxmlformats.org/officeDocument/2006/relationships/hyperlink" Target="mailto:sharonaleja500@gmail.com" TargetMode="External"/><Relationship Id="rId15" Type="http://schemas.openxmlformats.org/officeDocument/2006/relationships/hyperlink" Target="mailto:kingmacceg@gmail.com" TargetMode="External"/><Relationship Id="rId59" Type="http://schemas.openxmlformats.org/officeDocument/2006/relationships/hyperlink" Target="mailto:30888165@cslc.edu.ve" TargetMode="External"/><Relationship Id="rId14" Type="http://schemas.openxmlformats.org/officeDocument/2006/relationships/hyperlink" Target="mailto:jeffreynegron03@gmail.com" TargetMode="External"/><Relationship Id="rId58" Type="http://schemas.openxmlformats.org/officeDocument/2006/relationships/hyperlink" Target="mailto:31136316@cslc.edu.ve" TargetMode="External"/><Relationship Id="rId17" Type="http://schemas.openxmlformats.org/officeDocument/2006/relationships/hyperlink" Target="mailto:Rafael.perdo@gmail.com" TargetMode="External"/><Relationship Id="rId16" Type="http://schemas.openxmlformats.org/officeDocument/2006/relationships/hyperlink" Target="mailto:kingmacceg@gmail.com" TargetMode="External"/><Relationship Id="rId19" Type="http://schemas.openxmlformats.org/officeDocument/2006/relationships/hyperlink" Target="mailto:vakm02@gmail.com" TargetMode="External"/><Relationship Id="rId18" Type="http://schemas.openxmlformats.org/officeDocument/2006/relationships/hyperlink" Target="mailto:alefalcon2002@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1.0"/>
    <col customWidth="1" min="3" max="3" width="25.43"/>
    <col customWidth="1" min="4" max="4" width="18.86"/>
    <col customWidth="1" min="5" max="5" width="35.57"/>
    <col customWidth="1" min="6" max="6" width="18.0"/>
    <col customWidth="1" min="7" max="7" width="12.57"/>
    <col customWidth="1" min="8" max="8" width="11.86"/>
    <col customWidth="1" min="9" max="9" width="10.71"/>
    <col customWidth="1" min="10" max="10" width="13.86"/>
    <col customWidth="1" min="11" max="11" width="13.57"/>
    <col customWidth="1" min="12" max="12" width="18.43"/>
    <col customWidth="1" min="13" max="13" width="23.29"/>
    <col customWidth="1" min="14" max="23" width="10.71"/>
  </cols>
  <sheetData>
    <row r="1">
      <c r="A1" s="2" t="s">
        <v>1</v>
      </c>
      <c r="M1" s="3"/>
    </row>
    <row r="2">
      <c r="C2" s="5"/>
      <c r="M2" s="3"/>
    </row>
    <row r="3" ht="23.25" customHeight="1">
      <c r="A3" s="8" t="s">
        <v>4</v>
      </c>
      <c r="B3" s="10" t="s">
        <v>6</v>
      </c>
      <c r="C3" s="10" t="s">
        <v>7</v>
      </c>
      <c r="D3" s="12" t="s">
        <v>8</v>
      </c>
      <c r="E3" s="8" t="s">
        <v>9</v>
      </c>
      <c r="F3" s="8" t="s">
        <v>10</v>
      </c>
      <c r="G3" s="14" t="s">
        <v>11</v>
      </c>
      <c r="H3" s="12" t="s">
        <v>12</v>
      </c>
      <c r="I3" s="12" t="s">
        <v>13</v>
      </c>
      <c r="J3" s="14" t="s">
        <v>15</v>
      </c>
      <c r="K3" s="14" t="s">
        <v>16</v>
      </c>
      <c r="L3" s="8" t="s">
        <v>17</v>
      </c>
      <c r="M3" s="16" t="s">
        <v>18</v>
      </c>
      <c r="N3" s="17"/>
      <c r="O3" s="17"/>
      <c r="P3" s="17"/>
      <c r="Q3" s="17"/>
      <c r="R3" s="17"/>
      <c r="S3" s="17"/>
      <c r="T3" s="17"/>
      <c r="U3" s="17"/>
      <c r="V3" s="17"/>
      <c r="W3" s="17"/>
    </row>
    <row r="4" ht="15.0" customHeight="1">
      <c r="A4" s="20">
        <v>2016.0</v>
      </c>
      <c r="B4" s="20" t="s">
        <v>21</v>
      </c>
      <c r="C4" s="22" t="s">
        <v>23</v>
      </c>
      <c r="D4" s="24">
        <v>1.7922474E7</v>
      </c>
      <c r="E4" s="33" t="s">
        <v>25</v>
      </c>
      <c r="F4" s="20" t="s">
        <v>33</v>
      </c>
      <c r="G4" s="35">
        <v>42576.0</v>
      </c>
      <c r="H4" s="20" t="s">
        <v>34</v>
      </c>
      <c r="I4" s="20"/>
      <c r="J4" s="35">
        <v>42576.0</v>
      </c>
      <c r="K4" s="36">
        <v>42607.0</v>
      </c>
      <c r="L4" s="20"/>
      <c r="M4" s="38" t="s">
        <v>36</v>
      </c>
    </row>
    <row r="5" ht="22.5" customHeight="1">
      <c r="A5" s="20">
        <v>2016.0</v>
      </c>
      <c r="B5" s="24" t="s">
        <v>21</v>
      </c>
      <c r="C5" s="22" t="s">
        <v>38</v>
      </c>
      <c r="D5" s="41">
        <v>2.7985434E7</v>
      </c>
      <c r="E5" s="33" t="str">
        <f>HYPERLINK("mailto:deiivanegass@gmail.com","deiivanegass@gmail.com")</f>
        <v>deiivanegass@gmail.com</v>
      </c>
      <c r="F5" s="24" t="s">
        <v>45</v>
      </c>
      <c r="G5" s="20"/>
      <c r="H5" s="20" t="s">
        <v>46</v>
      </c>
      <c r="I5" s="20"/>
      <c r="J5" s="35">
        <v>42663.0</v>
      </c>
      <c r="K5" s="36">
        <v>42824.0</v>
      </c>
      <c r="L5" s="24" t="s">
        <v>48</v>
      </c>
      <c r="M5" s="46" t="s">
        <v>49</v>
      </c>
    </row>
    <row r="6" ht="22.5" customHeight="1">
      <c r="A6" s="20">
        <v>2016.0</v>
      </c>
      <c r="B6" s="24" t="s">
        <v>21</v>
      </c>
      <c r="C6" s="22" t="s">
        <v>51</v>
      </c>
      <c r="D6" s="41">
        <v>2.7954975E7</v>
      </c>
      <c r="E6" s="33" t="str">
        <f>HYPERLINK("mailto:nathalycr018@gmail.com","nathalycr018@gmail.com")</f>
        <v>nathalycr018@gmail.com</v>
      </c>
      <c r="F6" s="24">
        <v>4.165259297E9</v>
      </c>
      <c r="G6" s="20"/>
      <c r="H6" s="20" t="s">
        <v>46</v>
      </c>
      <c r="I6" s="20"/>
      <c r="J6" s="35">
        <v>42663.0</v>
      </c>
      <c r="K6" s="36">
        <v>42824.0</v>
      </c>
      <c r="L6" s="24" t="s">
        <v>48</v>
      </c>
      <c r="M6" s="46" t="s">
        <v>49</v>
      </c>
    </row>
    <row r="7" ht="22.5" customHeight="1">
      <c r="A7" s="20">
        <v>2016.0</v>
      </c>
      <c r="B7" s="24" t="s">
        <v>21</v>
      </c>
      <c r="C7" s="22" t="s">
        <v>54</v>
      </c>
      <c r="D7" s="41">
        <v>2.7954973E7</v>
      </c>
      <c r="E7" s="24"/>
      <c r="F7" s="24">
        <v>4.165259297E9</v>
      </c>
      <c r="G7" s="20"/>
      <c r="H7" s="20" t="s">
        <v>46</v>
      </c>
      <c r="I7" s="20"/>
      <c r="J7" s="35">
        <v>42663.0</v>
      </c>
      <c r="K7" s="36">
        <v>42824.0</v>
      </c>
      <c r="L7" s="24" t="s">
        <v>48</v>
      </c>
      <c r="M7" s="46" t="s">
        <v>49</v>
      </c>
    </row>
    <row r="8" ht="22.5" customHeight="1">
      <c r="A8" s="20">
        <v>2016.0</v>
      </c>
      <c r="B8" s="24" t="s">
        <v>21</v>
      </c>
      <c r="C8" s="22" t="s">
        <v>56</v>
      </c>
      <c r="D8" s="41">
        <v>2.7175734E7</v>
      </c>
      <c r="E8" s="33" t="str">
        <f>HYPERLINK("mailto:nayerlinmoreno@hotmail.com","nayerlinmoreno@hotmail.com")</f>
        <v>nayerlinmoreno@hotmail.com</v>
      </c>
      <c r="F8" s="24">
        <v>4.141387817E9</v>
      </c>
      <c r="G8" s="20"/>
      <c r="H8" s="20" t="s">
        <v>46</v>
      </c>
      <c r="I8" s="20"/>
      <c r="J8" s="35">
        <v>42663.0</v>
      </c>
      <c r="K8" s="36">
        <v>42857.0</v>
      </c>
      <c r="L8" s="24" t="s">
        <v>48</v>
      </c>
      <c r="M8" s="46" t="s">
        <v>49</v>
      </c>
    </row>
    <row r="9" ht="22.5" customHeight="1">
      <c r="A9" s="20">
        <v>2016.0</v>
      </c>
      <c r="B9" s="24" t="s">
        <v>21</v>
      </c>
      <c r="C9" s="22" t="s">
        <v>58</v>
      </c>
      <c r="D9" s="41">
        <v>2.8300354E7</v>
      </c>
      <c r="E9" s="33" t="str">
        <f>HYPERLINK("mailto:katherin_13@hotmail.com","katherin_13@hotmail.com")</f>
        <v>katherin_13@hotmail.com</v>
      </c>
      <c r="F9" s="24">
        <v>4.241742848E9</v>
      </c>
      <c r="G9" s="20"/>
      <c r="H9" s="20" t="s">
        <v>46</v>
      </c>
      <c r="I9" s="20"/>
      <c r="J9" s="35">
        <v>42663.0</v>
      </c>
      <c r="K9" s="36">
        <v>42857.0</v>
      </c>
      <c r="L9" s="24" t="s">
        <v>48</v>
      </c>
      <c r="M9" s="46" t="s">
        <v>49</v>
      </c>
    </row>
    <row r="10" ht="22.5" customHeight="1">
      <c r="A10" s="20">
        <v>2016.0</v>
      </c>
      <c r="B10" s="24" t="s">
        <v>21</v>
      </c>
      <c r="C10" s="22" t="s">
        <v>62</v>
      </c>
      <c r="D10" s="41">
        <v>2.7569606E7</v>
      </c>
      <c r="E10" s="33" t="str">
        <f>HYPERLINK("mailto:vivianaolaya26@gmail.com","vivianaolaya26@gmail.com")</f>
        <v>vivianaolaya26@gmail.com</v>
      </c>
      <c r="F10" s="24">
        <v>4.241066136E9</v>
      </c>
      <c r="G10" s="20"/>
      <c r="H10" s="20" t="s">
        <v>46</v>
      </c>
      <c r="I10" s="20"/>
      <c r="J10" s="35">
        <v>42676.0</v>
      </c>
      <c r="K10" s="36">
        <v>42857.0</v>
      </c>
      <c r="L10" s="24" t="s">
        <v>48</v>
      </c>
      <c r="M10" s="46" t="s">
        <v>49</v>
      </c>
    </row>
    <row r="11" ht="22.5" customHeight="1">
      <c r="A11" s="20">
        <v>2016.0</v>
      </c>
      <c r="B11" s="24" t="s">
        <v>21</v>
      </c>
      <c r="C11" s="22" t="s">
        <v>66</v>
      </c>
      <c r="D11" s="59">
        <v>2.7965413E7</v>
      </c>
      <c r="E11" s="22"/>
      <c r="F11" s="22">
        <v>4.149162468E9</v>
      </c>
      <c r="G11" s="20"/>
      <c r="H11" s="20" t="s">
        <v>68</v>
      </c>
      <c r="I11" s="20"/>
      <c r="J11" s="36">
        <v>42563.0</v>
      </c>
      <c r="K11" s="36">
        <v>42641.0</v>
      </c>
      <c r="L11" s="24" t="s">
        <v>69</v>
      </c>
      <c r="M11" s="46" t="s">
        <v>49</v>
      </c>
    </row>
    <row r="12" ht="22.5" customHeight="1">
      <c r="A12" s="20">
        <v>2016.0</v>
      </c>
      <c r="B12" s="24" t="s">
        <v>21</v>
      </c>
      <c r="C12" s="22" t="s">
        <v>71</v>
      </c>
      <c r="D12" s="59">
        <v>2.7352989E7</v>
      </c>
      <c r="E12" s="61" t="str">
        <f>HYPERLINK("mailto:mafemm06@gmail.com","mafemm06@gmail.com")</f>
        <v>mafemm06@gmail.com</v>
      </c>
      <c r="F12" s="22" t="s">
        <v>73</v>
      </c>
      <c r="G12" s="20"/>
      <c r="H12" s="20" t="s">
        <v>68</v>
      </c>
      <c r="I12" s="20"/>
      <c r="J12" s="36">
        <v>42439.0</v>
      </c>
      <c r="K12" s="36">
        <v>42551.0</v>
      </c>
      <c r="L12" s="24" t="s">
        <v>69</v>
      </c>
      <c r="M12" s="46" t="s">
        <v>49</v>
      </c>
    </row>
    <row r="13" ht="22.5" customHeight="1">
      <c r="A13" s="20">
        <v>2016.0</v>
      </c>
      <c r="B13" s="24" t="s">
        <v>21</v>
      </c>
      <c r="C13" s="22" t="s">
        <v>74</v>
      </c>
      <c r="D13" s="59">
        <v>2.8426196E7</v>
      </c>
      <c r="E13" s="61" t="str">
        <f>HYPERLINK("mailto:sharonnova_99@hotmail.com","sharonnova_99@hotmail.com")</f>
        <v>sharonnova_99@hotmail.com</v>
      </c>
      <c r="F13" s="22">
        <v>4.242997942E9</v>
      </c>
      <c r="G13" s="20"/>
      <c r="H13" s="20" t="s">
        <v>68</v>
      </c>
      <c r="I13" s="20"/>
      <c r="J13" s="36">
        <v>42563.0</v>
      </c>
      <c r="K13" s="36">
        <v>42641.0</v>
      </c>
      <c r="L13" s="24" t="s">
        <v>69</v>
      </c>
      <c r="M13" s="46" t="s">
        <v>49</v>
      </c>
    </row>
    <row r="14" ht="22.5" customHeight="1">
      <c r="A14" s="20">
        <v>2016.0</v>
      </c>
      <c r="B14" s="24" t="s">
        <v>21</v>
      </c>
      <c r="C14" s="22" t="s">
        <v>75</v>
      </c>
      <c r="D14" s="59">
        <v>2.6040149E7</v>
      </c>
      <c r="E14" s="61" t="str">
        <f>HYPERLINK("mailto:sofibarriteau02@gmail.com","sofibarriteau02@gmail.com")</f>
        <v>sofibarriteau02@gmail.com</v>
      </c>
      <c r="F14" s="22">
        <v>4.161786861E9</v>
      </c>
      <c r="G14" s="20"/>
      <c r="H14" s="20" t="s">
        <v>68</v>
      </c>
      <c r="I14" s="20"/>
      <c r="J14" s="36">
        <v>42460.0</v>
      </c>
      <c r="K14" s="36">
        <v>42517.0</v>
      </c>
      <c r="L14" s="24"/>
      <c r="M14" s="46" t="s">
        <v>49</v>
      </c>
    </row>
    <row r="15" ht="22.5" customHeight="1">
      <c r="A15" s="20">
        <v>2016.0</v>
      </c>
      <c r="B15" s="24" t="s">
        <v>21</v>
      </c>
      <c r="C15" s="22" t="s">
        <v>77</v>
      </c>
      <c r="D15" s="59">
        <v>2.7150541E7</v>
      </c>
      <c r="E15" s="61" t="str">
        <f>HYPERLINK("mailto:valentinaverrani99@hotmail.com","valentinaverrani99@hotmail.com")</f>
        <v>valentinaverrani99@hotmail.com</v>
      </c>
      <c r="F15" s="22" t="s">
        <v>83</v>
      </c>
      <c r="G15" s="20"/>
      <c r="H15" s="20" t="s">
        <v>68</v>
      </c>
      <c r="I15" s="20"/>
      <c r="J15" s="36">
        <v>42439.0</v>
      </c>
      <c r="K15" s="36">
        <v>42592.0</v>
      </c>
      <c r="L15" s="24" t="s">
        <v>84</v>
      </c>
      <c r="M15" s="46" t="s">
        <v>49</v>
      </c>
    </row>
    <row r="16" ht="22.5" customHeight="1">
      <c r="A16" s="20">
        <v>2016.0</v>
      </c>
      <c r="B16" s="24" t="s">
        <v>21</v>
      </c>
      <c r="C16" s="71" t="s">
        <v>86</v>
      </c>
      <c r="D16" s="73"/>
      <c r="E16" s="71"/>
      <c r="F16" s="20"/>
      <c r="G16" s="20"/>
      <c r="H16" s="20" t="s">
        <v>92</v>
      </c>
      <c r="I16" s="20"/>
      <c r="J16" s="74">
        <v>42278.0</v>
      </c>
      <c r="K16" s="20"/>
      <c r="L16" s="71" t="s">
        <v>95</v>
      </c>
      <c r="M16" s="46" t="s">
        <v>49</v>
      </c>
    </row>
    <row r="17" ht="22.5" customHeight="1">
      <c r="A17" s="20">
        <v>2016.0</v>
      </c>
      <c r="B17" s="24" t="s">
        <v>21</v>
      </c>
      <c r="C17" s="71" t="s">
        <v>96</v>
      </c>
      <c r="D17" s="20"/>
      <c r="E17" s="71"/>
      <c r="F17" s="73" t="s">
        <v>97</v>
      </c>
      <c r="G17" s="20"/>
      <c r="H17" s="20" t="s">
        <v>92</v>
      </c>
      <c r="I17" s="20"/>
      <c r="J17" s="74">
        <v>42371.0</v>
      </c>
      <c r="K17" s="20"/>
      <c r="L17" s="20" t="s">
        <v>98</v>
      </c>
      <c r="M17" s="46" t="s">
        <v>49</v>
      </c>
    </row>
    <row r="18" ht="22.5" customHeight="1">
      <c r="A18" s="20">
        <v>2016.0</v>
      </c>
      <c r="B18" s="24" t="s">
        <v>21</v>
      </c>
      <c r="C18" s="71" t="s">
        <v>100</v>
      </c>
      <c r="D18" s="20"/>
      <c r="E18" s="71"/>
      <c r="F18" s="73" t="s">
        <v>101</v>
      </c>
      <c r="G18" s="20"/>
      <c r="H18" s="20" t="s">
        <v>92</v>
      </c>
      <c r="I18" s="20"/>
      <c r="J18" s="74">
        <v>42373.0</v>
      </c>
      <c r="K18" s="20"/>
      <c r="L18" s="20" t="s">
        <v>98</v>
      </c>
      <c r="M18" s="46" t="s">
        <v>49</v>
      </c>
    </row>
    <row r="19" ht="22.5" customHeight="1">
      <c r="A19" s="20">
        <v>2016.0</v>
      </c>
      <c r="B19" s="24" t="s">
        <v>21</v>
      </c>
      <c r="C19" s="71" t="s">
        <v>102</v>
      </c>
      <c r="D19" s="20"/>
      <c r="E19" s="80" t="str">
        <f>HYPERLINK("mailto:torresdaniel508@gmail.com","torresdaniel508@gmail.com")</f>
        <v>torresdaniel508@gmail.com</v>
      </c>
      <c r="F19" s="73" t="s">
        <v>105</v>
      </c>
      <c r="G19" s="20"/>
      <c r="H19" s="20" t="s">
        <v>92</v>
      </c>
      <c r="I19" s="20"/>
      <c r="J19" s="74">
        <v>42458.0</v>
      </c>
      <c r="K19" s="20"/>
      <c r="L19" s="20"/>
      <c r="M19" s="46" t="s">
        <v>49</v>
      </c>
    </row>
    <row r="20" ht="22.5" customHeight="1">
      <c r="A20" s="20">
        <v>2016.0</v>
      </c>
      <c r="B20" s="24" t="s">
        <v>21</v>
      </c>
      <c r="C20" s="71" t="s">
        <v>106</v>
      </c>
      <c r="D20" s="20"/>
      <c r="E20" s="80" t="str">
        <f>HYPERLINK("mailto:hanchu01@gmail.com","hanchu01@gmail.com")</f>
        <v>hanchu01@gmail.com</v>
      </c>
      <c r="F20" s="73" t="s">
        <v>109</v>
      </c>
      <c r="G20" s="20"/>
      <c r="H20" s="20" t="s">
        <v>92</v>
      </c>
      <c r="I20" s="20"/>
      <c r="J20" s="74">
        <v>42458.0</v>
      </c>
      <c r="K20" s="20"/>
      <c r="L20" s="20" t="s">
        <v>98</v>
      </c>
      <c r="M20" s="46" t="s">
        <v>49</v>
      </c>
    </row>
    <row r="21" ht="22.5" customHeight="1">
      <c r="A21" s="20">
        <v>2016.0</v>
      </c>
      <c r="B21" s="24" t="s">
        <v>21</v>
      </c>
      <c r="C21" s="71" t="s">
        <v>111</v>
      </c>
      <c r="D21" s="20"/>
      <c r="E21" s="71"/>
      <c r="F21" s="73" t="s">
        <v>112</v>
      </c>
      <c r="G21" s="20"/>
      <c r="H21" s="20" t="s">
        <v>92</v>
      </c>
      <c r="I21" s="20"/>
      <c r="J21" s="74">
        <v>42372.0</v>
      </c>
      <c r="K21" s="20"/>
      <c r="L21" s="20" t="s">
        <v>98</v>
      </c>
      <c r="M21" s="46" t="s">
        <v>49</v>
      </c>
    </row>
    <row r="22" ht="22.5" customHeight="1">
      <c r="A22" s="20">
        <v>2016.0</v>
      </c>
      <c r="B22" s="24" t="s">
        <v>21</v>
      </c>
      <c r="C22" s="71" t="s">
        <v>113</v>
      </c>
      <c r="D22" s="20"/>
      <c r="E22" s="71"/>
      <c r="F22" s="73" t="s">
        <v>114</v>
      </c>
      <c r="G22" s="20"/>
      <c r="H22" s="20" t="s">
        <v>92</v>
      </c>
      <c r="I22" s="20"/>
      <c r="J22" s="74">
        <v>42370.0</v>
      </c>
      <c r="K22" s="20"/>
      <c r="L22" s="20" t="s">
        <v>98</v>
      </c>
      <c r="M22" s="46" t="s">
        <v>49</v>
      </c>
    </row>
    <row r="23" ht="22.5" customHeight="1">
      <c r="A23" s="20">
        <v>2016.0</v>
      </c>
      <c r="B23" s="24" t="s">
        <v>21</v>
      </c>
      <c r="C23" s="22" t="s">
        <v>115</v>
      </c>
      <c r="D23" s="24">
        <v>2.6794868E7</v>
      </c>
      <c r="E23" s="61" t="str">
        <f>HYPERLINK("mailto:torresdaniel508@gmail.con","torresdaniel508@gmail.con")</f>
        <v>torresdaniel508@gmail.con</v>
      </c>
      <c r="F23" s="89" t="s">
        <v>105</v>
      </c>
      <c r="G23" s="20"/>
      <c r="H23" s="20" t="s">
        <v>92</v>
      </c>
      <c r="I23" s="20"/>
      <c r="J23" s="36"/>
      <c r="K23" s="90"/>
      <c r="L23" s="24" t="s">
        <v>118</v>
      </c>
      <c r="M23" s="46" t="s">
        <v>49</v>
      </c>
    </row>
    <row r="24" ht="22.5" customHeight="1">
      <c r="A24" s="20">
        <v>2016.0</v>
      </c>
      <c r="B24" s="24" t="s">
        <v>21</v>
      </c>
      <c r="C24" s="22" t="s">
        <v>119</v>
      </c>
      <c r="D24" s="41">
        <v>2.7424208E7</v>
      </c>
      <c r="E24" s="33" t="str">
        <f>HYPERLINK("mailto:tiberi.diego@hotmail.com","tiberi.diego@hotmail.com")</f>
        <v>tiberi.diego@hotmail.com</v>
      </c>
      <c r="F24" s="94" t="s">
        <v>120</v>
      </c>
      <c r="G24" s="20"/>
      <c r="H24" s="20" t="s">
        <v>92</v>
      </c>
      <c r="I24" s="20"/>
      <c r="J24" s="35">
        <v>42664.0</v>
      </c>
      <c r="K24" s="90">
        <v>43022.0</v>
      </c>
      <c r="L24" s="24" t="s">
        <v>121</v>
      </c>
      <c r="M24" s="46" t="s">
        <v>49</v>
      </c>
    </row>
    <row r="25" ht="22.5" customHeight="1">
      <c r="A25" s="96">
        <v>2016.0</v>
      </c>
      <c r="B25" s="97" t="s">
        <v>21</v>
      </c>
      <c r="C25" s="98" t="s">
        <v>122</v>
      </c>
      <c r="D25" s="99">
        <v>2.7796484E7</v>
      </c>
      <c r="E25" s="100" t="str">
        <f>HYPERLINK("mailto:erikmuskus@gmail.com","erikmuskus@gmail.com")</f>
        <v>erikmuskus@gmail.com</v>
      </c>
      <c r="F25" s="101" t="s">
        <v>123</v>
      </c>
      <c r="G25" s="96"/>
      <c r="H25" s="96" t="s">
        <v>92</v>
      </c>
      <c r="I25" s="96"/>
      <c r="J25" s="102">
        <v>42650.0</v>
      </c>
      <c r="K25" s="103"/>
      <c r="L25" s="97"/>
      <c r="M25" s="104" t="s">
        <v>124</v>
      </c>
      <c r="N25" s="105"/>
      <c r="O25" s="105"/>
      <c r="P25" s="105"/>
      <c r="Q25" s="105"/>
      <c r="R25" s="105"/>
      <c r="S25" s="105"/>
      <c r="T25" s="105"/>
      <c r="U25" s="105"/>
      <c r="V25" s="105"/>
      <c r="W25" s="105"/>
      <c r="X25" s="105"/>
      <c r="Y25" s="105"/>
      <c r="Z25" s="105"/>
    </row>
    <row r="26" ht="22.5" customHeight="1">
      <c r="A26" s="20">
        <v>2016.0</v>
      </c>
      <c r="B26" s="24" t="s">
        <v>21</v>
      </c>
      <c r="C26" s="22" t="s">
        <v>125</v>
      </c>
      <c r="D26" s="41">
        <v>2.7624062E7</v>
      </c>
      <c r="E26" s="33" t="str">
        <f>HYPERLINK("mailto:pedrombo4@gmail.com","pedrombo4@gmail.com")</f>
        <v>pedrombo4@gmail.com</v>
      </c>
      <c r="F26" s="94" t="s">
        <v>126</v>
      </c>
      <c r="G26" s="20"/>
      <c r="H26" s="20" t="s">
        <v>92</v>
      </c>
      <c r="I26" s="20"/>
      <c r="J26" s="35">
        <v>42664.0</v>
      </c>
      <c r="K26" s="90">
        <v>43022.0</v>
      </c>
      <c r="L26" s="24" t="s">
        <v>121</v>
      </c>
      <c r="M26" s="46" t="s">
        <v>49</v>
      </c>
    </row>
    <row r="27" ht="22.5" customHeight="1">
      <c r="A27" s="20">
        <v>2016.0</v>
      </c>
      <c r="B27" s="24" t="s">
        <v>21</v>
      </c>
      <c r="C27" s="22" t="s">
        <v>127</v>
      </c>
      <c r="D27" s="59">
        <v>2.5138015E7</v>
      </c>
      <c r="E27" s="61" t="str">
        <f>HYPERLINK("mailto:jeckson_99@live.com","jeckson_99@live.com")</f>
        <v>jeckson_99@live.com</v>
      </c>
      <c r="F27" s="22">
        <v>4.140218425E9</v>
      </c>
      <c r="G27" s="20"/>
      <c r="H27" s="20" t="s">
        <v>128</v>
      </c>
      <c r="I27" s="20"/>
      <c r="J27" s="36">
        <v>42432.0</v>
      </c>
      <c r="K27" s="36">
        <v>42443.0</v>
      </c>
      <c r="L27" s="20"/>
      <c r="M27" s="46" t="s">
        <v>49</v>
      </c>
    </row>
    <row r="28" ht="22.5" customHeight="1">
      <c r="A28" s="20">
        <v>2016.0</v>
      </c>
      <c r="B28" s="24" t="s">
        <v>21</v>
      </c>
      <c r="C28" s="22" t="s">
        <v>129</v>
      </c>
      <c r="D28" s="59">
        <v>2.5518897E7</v>
      </c>
      <c r="E28" s="61" t="str">
        <f>HYPERLINK("mailto:wilsonraz17@gmail.com","wilsonraz17@gmail.com")</f>
        <v>wilsonraz17@gmail.com</v>
      </c>
      <c r="F28" s="22">
        <v>4.16901126E9</v>
      </c>
      <c r="G28" s="20"/>
      <c r="H28" s="20" t="s">
        <v>128</v>
      </c>
      <c r="I28" s="20"/>
      <c r="J28" s="36">
        <v>42432.0</v>
      </c>
      <c r="K28" s="36">
        <v>42443.0</v>
      </c>
      <c r="L28" s="20"/>
      <c r="M28" s="46" t="s">
        <v>49</v>
      </c>
    </row>
    <row r="29" ht="22.5" customHeight="1">
      <c r="A29" s="20">
        <v>2016.0</v>
      </c>
      <c r="B29" s="24" t="s">
        <v>21</v>
      </c>
      <c r="C29" s="22" t="s">
        <v>130</v>
      </c>
      <c r="D29" s="59">
        <v>2.5518897E7</v>
      </c>
      <c r="E29" s="61" t="str">
        <f>HYPERLINK("mailto:luisfrancolf@hotmail.com","luisfrancolf@hotmail.com")</f>
        <v>luisfrancolf@hotmail.com</v>
      </c>
      <c r="F29" s="22">
        <v>4.242255461E9</v>
      </c>
      <c r="G29" s="20"/>
      <c r="H29" s="20" t="s">
        <v>128</v>
      </c>
      <c r="I29" s="20"/>
      <c r="J29" s="36">
        <v>42432.0</v>
      </c>
      <c r="K29" s="36">
        <v>42443.0</v>
      </c>
      <c r="L29" s="20"/>
      <c r="M29" s="46" t="s">
        <v>49</v>
      </c>
    </row>
    <row r="30" ht="22.5" customHeight="1">
      <c r="A30" s="20">
        <v>2016.0</v>
      </c>
      <c r="B30" s="24" t="s">
        <v>21</v>
      </c>
      <c r="C30" s="22" t="s">
        <v>131</v>
      </c>
      <c r="D30" s="59">
        <v>2.577019E7</v>
      </c>
      <c r="E30" s="61" t="str">
        <f>HYPERLINK("mailto:jhoseanyelio@gmail.com","jhoseanyelio@gmail.com")</f>
        <v>jhoseanyelio@gmail.com</v>
      </c>
      <c r="F30" s="22">
        <v>4.141615105E9</v>
      </c>
      <c r="G30" s="20"/>
      <c r="H30" s="20" t="s">
        <v>128</v>
      </c>
      <c r="I30" s="20"/>
      <c r="J30" s="36">
        <v>42432.0</v>
      </c>
      <c r="K30" s="36">
        <v>42443.0</v>
      </c>
      <c r="L30" s="20"/>
      <c r="M30" s="46" t="s">
        <v>49</v>
      </c>
    </row>
    <row r="31" ht="22.5" customHeight="1">
      <c r="A31" s="20">
        <v>2016.0</v>
      </c>
      <c r="B31" s="24" t="s">
        <v>21</v>
      </c>
      <c r="C31" s="22" t="s">
        <v>132</v>
      </c>
      <c r="D31" s="59">
        <v>2.5284371E7</v>
      </c>
      <c r="E31" s="61" t="str">
        <f>HYPERLINK("mailto:mundarainabel25@gmail.com","mundarainabel25@gmail.com")</f>
        <v>mundarainabel25@gmail.com</v>
      </c>
      <c r="F31" s="22">
        <v>4.26247612E9</v>
      </c>
      <c r="G31" s="20"/>
      <c r="H31" s="20" t="s">
        <v>128</v>
      </c>
      <c r="I31" s="20"/>
      <c r="J31" s="36">
        <v>42432.0</v>
      </c>
      <c r="K31" s="36">
        <v>42443.0</v>
      </c>
      <c r="L31" s="20"/>
      <c r="M31" s="46" t="s">
        <v>49</v>
      </c>
    </row>
    <row r="32" ht="22.5" customHeight="1">
      <c r="A32" s="20">
        <v>2016.0</v>
      </c>
      <c r="B32" s="24" t="s">
        <v>21</v>
      </c>
      <c r="C32" s="22" t="s">
        <v>133</v>
      </c>
      <c r="D32" s="22"/>
      <c r="E32" s="61" t="str">
        <f>HYPERLINK("mailto:pedrohernandez_15@hotmail.com","pedrohernandez_15@hotmail.com")</f>
        <v>pedrohernandez_15@hotmail.com</v>
      </c>
      <c r="F32" s="22" t="s">
        <v>134</v>
      </c>
      <c r="G32" s="20"/>
      <c r="H32" s="20" t="s">
        <v>128</v>
      </c>
      <c r="I32" s="20"/>
      <c r="J32" s="36">
        <v>42432.0</v>
      </c>
      <c r="K32" s="36">
        <v>42443.0</v>
      </c>
      <c r="L32" s="20"/>
      <c r="M32" s="46" t="s">
        <v>49</v>
      </c>
    </row>
    <row r="33" ht="22.5" customHeight="1">
      <c r="A33" s="20">
        <v>2016.0</v>
      </c>
      <c r="B33" s="24" t="s">
        <v>21</v>
      </c>
      <c r="C33" s="22" t="s">
        <v>135</v>
      </c>
      <c r="D33" s="22" t="s">
        <v>136</v>
      </c>
      <c r="E33" s="61" t="str">
        <f>HYPERLINK("mailto:jeremyalfredo000@gmail.com","jeremyalfredo000@gmail.com")</f>
        <v>jeremyalfredo000@gmail.com</v>
      </c>
      <c r="F33" s="22">
        <v>4.140240292E9</v>
      </c>
      <c r="G33" s="20"/>
      <c r="H33" s="20" t="s">
        <v>128</v>
      </c>
      <c r="I33" s="20"/>
      <c r="J33" s="36">
        <v>42432.0</v>
      </c>
      <c r="K33" s="36">
        <v>42443.0</v>
      </c>
      <c r="L33" s="20"/>
      <c r="M33" s="46" t="s">
        <v>49</v>
      </c>
    </row>
    <row r="34" ht="22.5" customHeight="1">
      <c r="A34" s="20">
        <v>2016.0</v>
      </c>
      <c r="B34" s="24" t="s">
        <v>21</v>
      </c>
      <c r="C34" s="22" t="s">
        <v>137</v>
      </c>
      <c r="D34" s="59">
        <v>2.5545087E7</v>
      </c>
      <c r="E34" s="61" t="str">
        <f>HYPERLINK("mailto:daydias2107@gmail.com","daydias2107@gmail.com")</f>
        <v>daydias2107@gmail.com</v>
      </c>
      <c r="F34" s="22">
        <v>4.123049642E9</v>
      </c>
      <c r="G34" s="20"/>
      <c r="H34" s="20" t="s">
        <v>128</v>
      </c>
      <c r="I34" s="20"/>
      <c r="J34" s="36">
        <v>42432.0</v>
      </c>
      <c r="K34" s="36">
        <v>42443.0</v>
      </c>
      <c r="L34" s="20"/>
      <c r="M34" s="46" t="s">
        <v>49</v>
      </c>
    </row>
    <row r="35" ht="22.5" customHeight="1">
      <c r="A35" s="20">
        <v>2016.0</v>
      </c>
      <c r="B35" s="24" t="s">
        <v>21</v>
      </c>
      <c r="C35" s="22" t="s">
        <v>138</v>
      </c>
      <c r="D35" s="59">
        <v>2.6272637E7</v>
      </c>
      <c r="E35" s="61" t="str">
        <f>HYPERLINK("mailto:enderlyncardenas@hotmail.com","enderlyncardenas@hotmail.com")</f>
        <v>enderlyncardenas@hotmail.com</v>
      </c>
      <c r="F35" s="22">
        <v>4.26888304E9</v>
      </c>
      <c r="G35" s="20"/>
      <c r="H35" s="20" t="s">
        <v>128</v>
      </c>
      <c r="I35" s="20"/>
      <c r="J35" s="36">
        <v>42432.0</v>
      </c>
      <c r="K35" s="36">
        <v>42443.0</v>
      </c>
      <c r="L35" s="20"/>
      <c r="M35" s="46" t="s">
        <v>49</v>
      </c>
    </row>
    <row r="36" ht="22.5" customHeight="1">
      <c r="A36" s="20">
        <v>2016.0</v>
      </c>
      <c r="B36" s="24" t="s">
        <v>21</v>
      </c>
      <c r="C36" s="22" t="s">
        <v>139</v>
      </c>
      <c r="D36" s="59">
        <v>2.5466144E7</v>
      </c>
      <c r="E36" s="61" t="str">
        <f>HYPERLINK("mailto:ara19961@hotmail.com","ara19961@hotmail.com")</f>
        <v>ara19961@hotmail.com</v>
      </c>
      <c r="F36" s="22">
        <v>4.142636536E9</v>
      </c>
      <c r="G36" s="20"/>
      <c r="H36" s="20" t="s">
        <v>128</v>
      </c>
      <c r="I36" s="20"/>
      <c r="J36" s="36">
        <v>42432.0</v>
      </c>
      <c r="K36" s="36">
        <v>42443.0</v>
      </c>
      <c r="L36" s="20"/>
      <c r="M36" s="46" t="s">
        <v>49</v>
      </c>
    </row>
    <row r="37" ht="22.5" customHeight="1">
      <c r="A37" s="20">
        <v>2016.0</v>
      </c>
      <c r="B37" s="24" t="s">
        <v>21</v>
      </c>
      <c r="C37" s="22" t="s">
        <v>140</v>
      </c>
      <c r="D37" s="59">
        <v>2.5205682E7</v>
      </c>
      <c r="E37" s="22"/>
      <c r="F37" s="22">
        <v>4.141615105E9</v>
      </c>
      <c r="G37" s="20"/>
      <c r="H37" s="20" t="s">
        <v>128</v>
      </c>
      <c r="I37" s="20"/>
      <c r="J37" s="36">
        <v>42466.0</v>
      </c>
      <c r="K37" s="36">
        <v>42475.0</v>
      </c>
      <c r="L37" s="20"/>
      <c r="M37" s="46" t="s">
        <v>49</v>
      </c>
    </row>
    <row r="38" ht="22.5" customHeight="1">
      <c r="A38" s="20">
        <v>2016.0</v>
      </c>
      <c r="B38" s="24" t="s">
        <v>21</v>
      </c>
      <c r="C38" s="22" t="s">
        <v>141</v>
      </c>
      <c r="D38" s="59">
        <v>2.7474956E7</v>
      </c>
      <c r="E38" s="22"/>
      <c r="F38" s="22">
        <v>4.241427013E9</v>
      </c>
      <c r="G38" s="20"/>
      <c r="H38" s="20" t="s">
        <v>128</v>
      </c>
      <c r="I38" s="20"/>
      <c r="J38" s="36">
        <v>42466.0</v>
      </c>
      <c r="K38" s="36">
        <v>42475.0</v>
      </c>
      <c r="L38" s="20"/>
      <c r="M38" s="46" t="s">
        <v>49</v>
      </c>
    </row>
    <row r="39" ht="22.5" customHeight="1">
      <c r="A39" s="20">
        <v>2016.0</v>
      </c>
      <c r="B39" s="24" t="s">
        <v>21</v>
      </c>
      <c r="C39" s="22" t="s">
        <v>142</v>
      </c>
      <c r="D39" s="59">
        <v>2.5625928E7</v>
      </c>
      <c r="E39" s="22"/>
      <c r="F39" s="22">
        <v>4.261871267E9</v>
      </c>
      <c r="G39" s="20"/>
      <c r="H39" s="20" t="s">
        <v>128</v>
      </c>
      <c r="I39" s="20"/>
      <c r="J39" s="36">
        <v>42466.0</v>
      </c>
      <c r="K39" s="36">
        <v>42475.0</v>
      </c>
      <c r="L39" s="20"/>
      <c r="M39" s="46" t="s">
        <v>49</v>
      </c>
    </row>
    <row r="40" ht="22.5" customHeight="1">
      <c r="A40" s="20">
        <v>2016.0</v>
      </c>
      <c r="B40" s="24" t="s">
        <v>21</v>
      </c>
      <c r="C40" s="22" t="s">
        <v>143</v>
      </c>
      <c r="D40" s="59">
        <v>2.579284E7</v>
      </c>
      <c r="E40" s="22"/>
      <c r="F40" s="22">
        <v>4.263012489E9</v>
      </c>
      <c r="G40" s="20"/>
      <c r="H40" s="20" t="s">
        <v>128</v>
      </c>
      <c r="I40" s="20"/>
      <c r="J40" s="36">
        <v>42466.0</v>
      </c>
      <c r="K40" s="36">
        <v>42475.0</v>
      </c>
      <c r="L40" s="20"/>
      <c r="M40" s="46" t="s">
        <v>49</v>
      </c>
    </row>
    <row r="41" ht="22.5" customHeight="1">
      <c r="A41" s="20">
        <v>2016.0</v>
      </c>
      <c r="B41" s="24" t="s">
        <v>21</v>
      </c>
      <c r="C41" s="22" t="s">
        <v>144</v>
      </c>
      <c r="D41" s="59">
        <v>2.6728125E7</v>
      </c>
      <c r="E41" s="22"/>
      <c r="F41" s="22">
        <v>4.122009439E9</v>
      </c>
      <c r="G41" s="20"/>
      <c r="H41" s="20" t="s">
        <v>128</v>
      </c>
      <c r="I41" s="20"/>
      <c r="J41" s="36">
        <v>42466.0</v>
      </c>
      <c r="K41" s="36">
        <v>42475.0</v>
      </c>
      <c r="L41" s="20"/>
      <c r="M41" s="46" t="s">
        <v>49</v>
      </c>
    </row>
    <row r="42" ht="22.5" customHeight="1">
      <c r="A42" s="20">
        <v>2016.0</v>
      </c>
      <c r="B42" s="24" t="s">
        <v>21</v>
      </c>
      <c r="C42" s="22" t="s">
        <v>145</v>
      </c>
      <c r="D42" s="59">
        <v>2.4057254E7</v>
      </c>
      <c r="E42" s="22"/>
      <c r="F42" s="22">
        <v>4.261028587E9</v>
      </c>
      <c r="G42" s="20"/>
      <c r="H42" s="20" t="s">
        <v>128</v>
      </c>
      <c r="I42" s="20"/>
      <c r="J42" s="36">
        <v>42466.0</v>
      </c>
      <c r="K42" s="36">
        <v>42475.0</v>
      </c>
      <c r="L42" s="20"/>
      <c r="M42" s="46" t="s">
        <v>49</v>
      </c>
    </row>
    <row r="43" ht="22.5" customHeight="1">
      <c r="A43" s="20">
        <v>2016.0</v>
      </c>
      <c r="B43" s="24" t="s">
        <v>21</v>
      </c>
      <c r="C43" s="22" t="s">
        <v>146</v>
      </c>
      <c r="D43" s="59">
        <v>2.7295645E7</v>
      </c>
      <c r="E43" s="22"/>
      <c r="F43" s="22">
        <v>4.26211328E9</v>
      </c>
      <c r="G43" s="20"/>
      <c r="H43" s="20" t="s">
        <v>128</v>
      </c>
      <c r="I43" s="20"/>
      <c r="J43" s="36">
        <v>42466.0</v>
      </c>
      <c r="K43" s="36">
        <v>42475.0</v>
      </c>
      <c r="L43" s="20"/>
      <c r="M43" s="46" t="s">
        <v>49</v>
      </c>
    </row>
    <row r="44" ht="22.5" customHeight="1">
      <c r="A44" s="20">
        <v>2016.0</v>
      </c>
      <c r="B44" s="24" t="s">
        <v>21</v>
      </c>
      <c r="C44" s="22" t="s">
        <v>147</v>
      </c>
      <c r="D44" s="59">
        <v>2.7103963E7</v>
      </c>
      <c r="E44" s="22"/>
      <c r="F44" s="22">
        <v>4.265369139E9</v>
      </c>
      <c r="G44" s="20"/>
      <c r="H44" s="20" t="s">
        <v>128</v>
      </c>
      <c r="I44" s="20"/>
      <c r="J44" s="36">
        <v>42466.0</v>
      </c>
      <c r="K44" s="36">
        <v>42475.0</v>
      </c>
      <c r="L44" s="20"/>
      <c r="M44" s="46" t="s">
        <v>49</v>
      </c>
    </row>
    <row r="45" ht="22.5" customHeight="1">
      <c r="A45" s="20">
        <v>2016.0</v>
      </c>
      <c r="B45" s="24" t="s">
        <v>21</v>
      </c>
      <c r="C45" s="22" t="s">
        <v>148</v>
      </c>
      <c r="D45" s="59">
        <v>2.4529488E7</v>
      </c>
      <c r="E45" s="22"/>
      <c r="F45" s="22">
        <v>4.167111757E9</v>
      </c>
      <c r="G45" s="20"/>
      <c r="H45" s="20" t="s">
        <v>128</v>
      </c>
      <c r="I45" s="20"/>
      <c r="J45" s="36">
        <v>42466.0</v>
      </c>
      <c r="K45" s="36">
        <v>42475.0</v>
      </c>
      <c r="L45" s="20"/>
      <c r="M45" s="46" t="s">
        <v>49</v>
      </c>
    </row>
    <row r="46" ht="22.5" customHeight="1">
      <c r="A46" s="20">
        <v>2016.0</v>
      </c>
      <c r="B46" s="24" t="s">
        <v>21</v>
      </c>
      <c r="C46" s="22" t="s">
        <v>149</v>
      </c>
      <c r="D46" s="59">
        <v>2.6063399E7</v>
      </c>
      <c r="E46" s="22"/>
      <c r="F46" s="22">
        <v>4.141051966E9</v>
      </c>
      <c r="G46" s="20"/>
      <c r="H46" s="20" t="s">
        <v>128</v>
      </c>
      <c r="I46" s="20"/>
      <c r="J46" s="36">
        <v>42466.0</v>
      </c>
      <c r="K46" s="36">
        <v>42475.0</v>
      </c>
      <c r="L46" s="20"/>
      <c r="M46" s="46" t="s">
        <v>49</v>
      </c>
    </row>
    <row r="47" ht="22.5" customHeight="1">
      <c r="A47" s="20">
        <v>2016.0</v>
      </c>
      <c r="B47" s="24" t="s">
        <v>21</v>
      </c>
      <c r="C47" s="71" t="s">
        <v>150</v>
      </c>
      <c r="D47" s="106">
        <v>2.7353018E7</v>
      </c>
      <c r="E47" s="71"/>
      <c r="F47" s="71"/>
      <c r="G47" s="20"/>
      <c r="H47" s="20" t="s">
        <v>151</v>
      </c>
      <c r="I47" s="20"/>
      <c r="J47" s="74">
        <v>42371.0</v>
      </c>
      <c r="K47" s="20"/>
      <c r="L47" s="20"/>
      <c r="M47" s="46" t="s">
        <v>49</v>
      </c>
    </row>
    <row r="48" ht="22.5" customHeight="1">
      <c r="A48" s="20">
        <v>2016.0</v>
      </c>
      <c r="B48" s="24" t="s">
        <v>21</v>
      </c>
      <c r="C48" s="71" t="s">
        <v>152</v>
      </c>
      <c r="D48" s="106">
        <v>2.7282375E7</v>
      </c>
      <c r="E48" s="80" t="str">
        <f>HYPERLINK("mailto:andreamartinezpc@gmail.com","andreamartinezpc@gmail.com")</f>
        <v>andreamartinezpc@gmail.com</v>
      </c>
      <c r="F48" s="71" t="s">
        <v>153</v>
      </c>
      <c r="G48" s="20"/>
      <c r="H48" s="20" t="s">
        <v>151</v>
      </c>
      <c r="I48" s="20"/>
      <c r="J48" s="74">
        <v>42388.0</v>
      </c>
      <c r="K48" s="20"/>
      <c r="L48" s="20"/>
      <c r="M48" s="46" t="s">
        <v>49</v>
      </c>
    </row>
    <row r="49" ht="22.5" customHeight="1">
      <c r="A49" s="20">
        <v>2016.0</v>
      </c>
      <c r="B49" s="24" t="s">
        <v>21</v>
      </c>
      <c r="C49" s="71" t="s">
        <v>154</v>
      </c>
      <c r="D49" s="106">
        <v>2.7450163E7</v>
      </c>
      <c r="E49" s="80" t="str">
        <f>HYPERLINK("mailto:lacytownkids@hotmail.com","lacytownkids@hotmail.com")</f>
        <v>lacytownkids@hotmail.com</v>
      </c>
      <c r="F49" s="71" t="s">
        <v>155</v>
      </c>
      <c r="G49" s="20"/>
      <c r="H49" s="20" t="s">
        <v>151</v>
      </c>
      <c r="I49" s="20"/>
      <c r="J49" s="74">
        <v>42388.0</v>
      </c>
      <c r="K49" s="20"/>
      <c r="L49" s="20"/>
      <c r="M49" s="46" t="s">
        <v>49</v>
      </c>
    </row>
    <row r="50" ht="22.5" customHeight="1">
      <c r="A50" s="20">
        <v>2016.0</v>
      </c>
      <c r="B50" s="24" t="s">
        <v>21</v>
      </c>
      <c r="C50" s="71" t="s">
        <v>156</v>
      </c>
      <c r="D50" s="106">
        <v>2.7513018E7</v>
      </c>
      <c r="E50" s="80" t="str">
        <f>HYPERLINK("mailto:crisarita@hotmail.com","crisarita@hotmail.com")</f>
        <v>crisarita@hotmail.com</v>
      </c>
      <c r="F50" s="71" t="s">
        <v>157</v>
      </c>
      <c r="G50" s="20"/>
      <c r="H50" s="20" t="s">
        <v>151</v>
      </c>
      <c r="I50" s="20"/>
      <c r="J50" s="74">
        <v>42388.0</v>
      </c>
      <c r="K50" s="20"/>
      <c r="L50" s="20"/>
      <c r="M50" s="46" t="s">
        <v>49</v>
      </c>
    </row>
    <row r="51" ht="22.5" customHeight="1">
      <c r="A51" s="20">
        <v>2016.0</v>
      </c>
      <c r="B51" s="24" t="s">
        <v>21</v>
      </c>
      <c r="C51" s="71" t="s">
        <v>158</v>
      </c>
      <c r="D51" s="106">
        <v>2.9686854E7</v>
      </c>
      <c r="E51" s="80" t="str">
        <f>HYPERLINK("mailto:gene_gali@hotmail.com","gene_gali@hotmail.com")</f>
        <v>gene_gali@hotmail.com</v>
      </c>
      <c r="F51" s="71">
        <v>4.241119452E9</v>
      </c>
      <c r="G51" s="20"/>
      <c r="H51" s="20" t="s">
        <v>151</v>
      </c>
      <c r="I51" s="20"/>
      <c r="J51" s="74">
        <v>42388.0</v>
      </c>
      <c r="K51" s="20"/>
      <c r="L51" s="20"/>
      <c r="M51" s="46" t="s">
        <v>49</v>
      </c>
    </row>
    <row r="52" ht="22.5" customHeight="1">
      <c r="A52" s="20">
        <v>2016.0</v>
      </c>
      <c r="B52" s="24" t="s">
        <v>21</v>
      </c>
      <c r="C52" s="71" t="s">
        <v>159</v>
      </c>
      <c r="D52" s="106">
        <v>2.7321683E7</v>
      </c>
      <c r="E52" s="80" t="str">
        <f>HYPERLINK("mailto:giulianadgq@gmail.com","giulianadgq@gmail.com")</f>
        <v>giulianadgq@gmail.com</v>
      </c>
      <c r="F52" s="71">
        <v>4.2418728E9</v>
      </c>
      <c r="G52" s="20"/>
      <c r="H52" s="20" t="s">
        <v>151</v>
      </c>
      <c r="I52" s="20"/>
      <c r="J52" s="74">
        <v>42388.0</v>
      </c>
      <c r="K52" s="20"/>
      <c r="L52" s="20"/>
      <c r="M52" s="46" t="s">
        <v>49</v>
      </c>
    </row>
    <row r="53" ht="22.5" customHeight="1">
      <c r="A53" s="20">
        <v>2016.0</v>
      </c>
      <c r="B53" s="24" t="s">
        <v>21</v>
      </c>
      <c r="C53" s="71" t="s">
        <v>160</v>
      </c>
      <c r="D53" s="106">
        <v>2.7177048E7</v>
      </c>
      <c r="E53" s="80" t="str">
        <f>HYPERLINK("mailto:ori_gabi_28@hotmail.com","ori_gabi_28@hotmail.com")</f>
        <v>ori_gabi_28@hotmail.com</v>
      </c>
      <c r="F53" s="71">
        <v>4.142389376E9</v>
      </c>
      <c r="G53" s="20"/>
      <c r="H53" s="20" t="s">
        <v>151</v>
      </c>
      <c r="I53" s="20"/>
      <c r="J53" s="74">
        <v>42388.0</v>
      </c>
      <c r="K53" s="20"/>
      <c r="L53" s="20"/>
      <c r="M53" s="46" t="s">
        <v>49</v>
      </c>
    </row>
    <row r="54" ht="22.5" customHeight="1">
      <c r="A54" s="20">
        <v>2016.0</v>
      </c>
      <c r="B54" s="24" t="s">
        <v>21</v>
      </c>
      <c r="C54" s="22" t="s">
        <v>161</v>
      </c>
      <c r="D54" s="59">
        <v>2.7788859E7</v>
      </c>
      <c r="E54" s="61" t="str">
        <f>HYPERLINK("mailto:adrianaalejandra@live.com","adrianaalejandra@live.com")</f>
        <v>adrianaalejandra@live.com</v>
      </c>
      <c r="F54" s="89">
        <v>4.241426461E9</v>
      </c>
      <c r="G54" s="20"/>
      <c r="H54" s="20" t="s">
        <v>162</v>
      </c>
      <c r="I54" s="20"/>
      <c r="J54" s="36">
        <v>42390.0</v>
      </c>
      <c r="K54" s="36">
        <v>42592.0</v>
      </c>
      <c r="L54" s="22"/>
      <c r="M54" s="46" t="s">
        <v>49</v>
      </c>
    </row>
    <row r="55" ht="22.5" customHeight="1">
      <c r="A55" s="20">
        <v>2016.0</v>
      </c>
      <c r="B55" s="24" t="s">
        <v>21</v>
      </c>
      <c r="C55" s="22" t="s">
        <v>163</v>
      </c>
      <c r="D55" s="59">
        <v>2.7668875E7</v>
      </c>
      <c r="E55" s="22"/>
      <c r="F55" s="89">
        <v>4.2423069E9</v>
      </c>
      <c r="G55" s="20"/>
      <c r="H55" s="20" t="s">
        <v>162</v>
      </c>
      <c r="I55" s="20"/>
      <c r="J55" s="36">
        <v>42374.0</v>
      </c>
      <c r="K55" s="36"/>
      <c r="L55" s="22"/>
      <c r="M55" s="46" t="s">
        <v>49</v>
      </c>
    </row>
    <row r="56" ht="22.5" customHeight="1">
      <c r="A56" s="20">
        <v>2016.0</v>
      </c>
      <c r="B56" s="24" t="s">
        <v>21</v>
      </c>
      <c r="C56" s="22" t="s">
        <v>164</v>
      </c>
      <c r="D56" s="59">
        <v>2.7027708E7</v>
      </c>
      <c r="E56" s="61" t="str">
        <f>HYPERLINK("mailto:albertoceci38@gmail.com","albertoceci38@gmail.com")</f>
        <v>albertoceci38@gmail.com</v>
      </c>
      <c r="F56" s="89">
        <v>4.122502728E9</v>
      </c>
      <c r="G56" s="20"/>
      <c r="H56" s="20" t="s">
        <v>162</v>
      </c>
      <c r="I56" s="20"/>
      <c r="J56" s="36">
        <v>42370.0</v>
      </c>
      <c r="K56" s="36">
        <v>42458.0</v>
      </c>
      <c r="L56" s="22" t="s">
        <v>165</v>
      </c>
      <c r="M56" s="46" t="s">
        <v>49</v>
      </c>
    </row>
    <row r="57" ht="22.5" customHeight="1">
      <c r="A57" s="20">
        <v>2016.0</v>
      </c>
      <c r="B57" s="24" t="s">
        <v>21</v>
      </c>
      <c r="C57" s="22" t="s">
        <v>166</v>
      </c>
      <c r="D57" s="22"/>
      <c r="E57" s="22"/>
      <c r="F57" s="89">
        <v>4.1420877E9</v>
      </c>
      <c r="G57" s="20"/>
      <c r="H57" s="20" t="s">
        <v>162</v>
      </c>
      <c r="I57" s="20"/>
      <c r="J57" s="36">
        <v>42375.0</v>
      </c>
      <c r="K57" s="36"/>
      <c r="L57" s="22"/>
      <c r="M57" s="46" t="s">
        <v>49</v>
      </c>
    </row>
    <row r="58" ht="22.5" customHeight="1">
      <c r="A58" s="20">
        <v>2016.0</v>
      </c>
      <c r="B58" s="24" t="s">
        <v>21</v>
      </c>
      <c r="C58" s="22" t="s">
        <v>167</v>
      </c>
      <c r="D58" s="59">
        <v>2.7254318E7</v>
      </c>
      <c r="E58" s="61" t="str">
        <f>HYPERLINK("mailto:michelandia8@hotmail.com","michelandia8@hotmail.com")</f>
        <v>michelandia8@hotmail.com</v>
      </c>
      <c r="F58" s="89" t="s">
        <v>168</v>
      </c>
      <c r="G58" s="20"/>
      <c r="H58" s="20" t="s">
        <v>162</v>
      </c>
      <c r="I58" s="20"/>
      <c r="J58" s="36">
        <v>42597.0</v>
      </c>
      <c r="K58" s="36"/>
      <c r="L58" s="22"/>
      <c r="M58" s="46" t="s">
        <v>49</v>
      </c>
    </row>
    <row r="59" ht="22.5" customHeight="1">
      <c r="A59" s="20">
        <v>2016.0</v>
      </c>
      <c r="B59" s="24" t="s">
        <v>21</v>
      </c>
      <c r="C59" s="22" t="s">
        <v>169</v>
      </c>
      <c r="D59" s="59">
        <v>2.737623E7</v>
      </c>
      <c r="E59" s="61" t="str">
        <f>HYPERLINK("mailto:fatimademendez@hotmail.com","fatimademendez@hotmail.com")</f>
        <v>fatimademendez@hotmail.com</v>
      </c>
      <c r="F59" s="89" t="s">
        <v>170</v>
      </c>
      <c r="G59" s="20"/>
      <c r="H59" s="20" t="s">
        <v>162</v>
      </c>
      <c r="I59" s="20"/>
      <c r="J59" s="36">
        <v>42398.0</v>
      </c>
      <c r="K59" s="36"/>
      <c r="L59" s="22"/>
      <c r="M59" s="46" t="s">
        <v>49</v>
      </c>
    </row>
    <row r="60" ht="22.5" customHeight="1">
      <c r="A60" s="20">
        <v>2016.0</v>
      </c>
      <c r="B60" s="24" t="s">
        <v>21</v>
      </c>
      <c r="C60" s="22" t="s">
        <v>171</v>
      </c>
      <c r="D60" s="59">
        <v>2.7879878E7</v>
      </c>
      <c r="E60" s="61" t="str">
        <f>HYPERLINK("mailto:eimyprincesita@hotmail.com","eimyprincesita@hotmail.com")</f>
        <v>eimyprincesita@hotmail.com</v>
      </c>
      <c r="F60" s="89" t="s">
        <v>172</v>
      </c>
      <c r="G60" s="20"/>
      <c r="H60" s="20" t="s">
        <v>162</v>
      </c>
      <c r="I60" s="20"/>
      <c r="J60" s="36">
        <v>42395.0</v>
      </c>
      <c r="K60" s="36">
        <v>42541.0</v>
      </c>
      <c r="L60" s="22"/>
      <c r="M60" s="46" t="s">
        <v>49</v>
      </c>
    </row>
    <row r="61" ht="22.5" customHeight="1">
      <c r="A61" s="20">
        <v>2016.0</v>
      </c>
      <c r="B61" s="24" t="s">
        <v>21</v>
      </c>
      <c r="C61" s="22" t="s">
        <v>173</v>
      </c>
      <c r="D61" s="22"/>
      <c r="E61" s="22"/>
      <c r="F61" s="89">
        <v>4.165285182E9</v>
      </c>
      <c r="G61" s="20"/>
      <c r="H61" s="20" t="s">
        <v>162</v>
      </c>
      <c r="I61" s="20"/>
      <c r="J61" s="36">
        <v>42372.0</v>
      </c>
      <c r="K61" s="36"/>
      <c r="L61" s="22"/>
      <c r="M61" s="46" t="s">
        <v>49</v>
      </c>
    </row>
    <row r="62" ht="22.5" customHeight="1">
      <c r="A62" s="20">
        <v>2016.0</v>
      </c>
      <c r="B62" s="24" t="s">
        <v>21</v>
      </c>
      <c r="C62" s="22" t="s">
        <v>174</v>
      </c>
      <c r="D62" s="59">
        <v>2.7150206E7</v>
      </c>
      <c r="E62" s="61" t="str">
        <f>HYPERLINK("mailto:maikelelgalan12@hotmail.com","maikelelgalan12@hotmail.com")</f>
        <v>maikelelgalan12@hotmail.com</v>
      </c>
      <c r="F62" s="89" t="s">
        <v>175</v>
      </c>
      <c r="G62" s="20"/>
      <c r="H62" s="20" t="s">
        <v>162</v>
      </c>
      <c r="I62" s="20"/>
      <c r="J62" s="36">
        <v>42395.0</v>
      </c>
      <c r="K62" s="36">
        <v>42389.0</v>
      </c>
      <c r="L62" s="22" t="s">
        <v>165</v>
      </c>
      <c r="M62" s="46" t="s">
        <v>49</v>
      </c>
    </row>
    <row r="63" ht="22.5" customHeight="1">
      <c r="A63" s="20">
        <v>2016.0</v>
      </c>
      <c r="B63" s="24" t="s">
        <v>21</v>
      </c>
      <c r="C63" s="22" t="s">
        <v>176</v>
      </c>
      <c r="D63" s="22"/>
      <c r="E63" s="22"/>
      <c r="F63" s="89">
        <v>4.165285182E9</v>
      </c>
      <c r="G63" s="20"/>
      <c r="H63" s="20" t="s">
        <v>162</v>
      </c>
      <c r="I63" s="20"/>
      <c r="J63" s="36">
        <v>42371.0</v>
      </c>
      <c r="K63" s="36"/>
      <c r="L63" s="22"/>
      <c r="M63" s="46" t="s">
        <v>49</v>
      </c>
    </row>
    <row r="64" ht="22.5" customHeight="1">
      <c r="A64" s="20">
        <v>2016.0</v>
      </c>
      <c r="B64" s="24" t="s">
        <v>21</v>
      </c>
      <c r="C64" s="22" t="s">
        <v>177</v>
      </c>
      <c r="D64" s="59">
        <v>2.6993928E7</v>
      </c>
      <c r="E64" s="22"/>
      <c r="F64" s="89">
        <v>4.264842181E9</v>
      </c>
      <c r="G64" s="20"/>
      <c r="H64" s="20" t="s">
        <v>162</v>
      </c>
      <c r="I64" s="20"/>
      <c r="J64" s="36">
        <v>42373.0</v>
      </c>
      <c r="K64" s="36"/>
      <c r="L64" s="22"/>
      <c r="M64" s="46" t="s">
        <v>49</v>
      </c>
    </row>
    <row r="65" ht="22.5" customHeight="1">
      <c r="A65" s="20">
        <v>2016.0</v>
      </c>
      <c r="B65" s="24" t="s">
        <v>21</v>
      </c>
      <c r="C65" s="22" t="s">
        <v>178</v>
      </c>
      <c r="D65" s="22"/>
      <c r="E65" s="61" t="str">
        <f>HYPERLINK("mailto:roberto2371999@hotmail.com","roberto2371999@hotmail.com")</f>
        <v>roberto2371999@hotmail.com</v>
      </c>
      <c r="F65" s="89">
        <v>4.26212355E9</v>
      </c>
      <c r="G65" s="20"/>
      <c r="H65" s="20" t="s">
        <v>162</v>
      </c>
      <c r="I65" s="20"/>
      <c r="J65" s="36">
        <v>42380.0</v>
      </c>
      <c r="K65" s="36"/>
      <c r="L65" s="22"/>
      <c r="M65" s="46" t="s">
        <v>49</v>
      </c>
    </row>
    <row r="66" ht="22.5" customHeight="1">
      <c r="A66" s="20">
        <v>2016.0</v>
      </c>
      <c r="B66" s="24" t="s">
        <v>21</v>
      </c>
      <c r="C66" s="22" t="s">
        <v>179</v>
      </c>
      <c r="D66" s="22"/>
      <c r="E66" s="61" t="str">
        <f>HYPERLINK("mailto:rcasaltorres@gmail.com","rcasaltorres@gmail.com")</f>
        <v>rcasaltorres@gmail.com</v>
      </c>
      <c r="F66" s="89">
        <v>4.143747006E9</v>
      </c>
      <c r="G66" s="20"/>
      <c r="H66" s="20" t="s">
        <v>162</v>
      </c>
      <c r="I66" s="20"/>
      <c r="J66" s="36">
        <v>42432.0</v>
      </c>
      <c r="K66" s="36"/>
      <c r="L66" s="22" t="s">
        <v>180</v>
      </c>
      <c r="M66" s="46" t="s">
        <v>49</v>
      </c>
    </row>
    <row r="67" ht="22.5" customHeight="1">
      <c r="A67" s="20">
        <v>2016.0</v>
      </c>
      <c r="B67" s="22" t="s">
        <v>21</v>
      </c>
      <c r="C67" s="22" t="s">
        <v>181</v>
      </c>
      <c r="D67" s="59">
        <v>2.7752967E7</v>
      </c>
      <c r="E67" s="61" t="str">
        <f>HYPERLINK("mailto:cariasgmarian@gmail.com","cariasgmarian@gmail.com")</f>
        <v>cariasgmarian@gmail.com</v>
      </c>
      <c r="F67" s="89">
        <v>4.241253532E9</v>
      </c>
      <c r="G67" s="20"/>
      <c r="H67" s="20" t="s">
        <v>162</v>
      </c>
      <c r="I67" s="20"/>
      <c r="J67" s="36">
        <v>42690.0</v>
      </c>
      <c r="K67" s="36">
        <v>42850.0</v>
      </c>
      <c r="L67" s="20"/>
      <c r="M67" s="46" t="s">
        <v>49</v>
      </c>
    </row>
    <row r="68" ht="22.5" customHeight="1">
      <c r="A68" s="20">
        <v>2016.0</v>
      </c>
      <c r="B68" s="24" t="s">
        <v>21</v>
      </c>
      <c r="C68" s="22" t="s">
        <v>182</v>
      </c>
      <c r="D68" s="59">
        <v>2.6921576E7</v>
      </c>
      <c r="E68" s="61" t="str">
        <f>HYPERLINK("mailto:alejandrac99@gmail.com","alejandrac99@gmail.com")</f>
        <v>alejandrac99@gmail.com</v>
      </c>
      <c r="F68" s="22">
        <v>4.142638252E9</v>
      </c>
      <c r="G68" s="20"/>
      <c r="H68" s="20" t="s">
        <v>183</v>
      </c>
      <c r="I68" s="20"/>
      <c r="J68" s="36">
        <v>42928.0</v>
      </c>
      <c r="K68" s="36">
        <v>42957.0</v>
      </c>
      <c r="L68" s="20"/>
      <c r="M68" s="46" t="s">
        <v>49</v>
      </c>
    </row>
    <row r="69" ht="22.5" customHeight="1">
      <c r="A69" s="20">
        <v>2016.0</v>
      </c>
      <c r="B69" s="24" t="s">
        <v>21</v>
      </c>
      <c r="C69" s="22" t="s">
        <v>184</v>
      </c>
      <c r="D69" s="22">
        <v>2.7342296E7</v>
      </c>
      <c r="E69" s="61" t="str">
        <f>HYPERLINK("mailto:alejandracsifontes@gmail.com","alejandracsifontes@gmail.com")</f>
        <v>alejandracsifontes@gmail.com</v>
      </c>
      <c r="F69" s="22">
        <v>4.149279171E9</v>
      </c>
      <c r="G69" s="20"/>
      <c r="H69" s="20" t="s">
        <v>183</v>
      </c>
      <c r="I69" s="20"/>
      <c r="J69" s="36">
        <v>42583.0</v>
      </c>
      <c r="K69" s="36">
        <v>42604.0</v>
      </c>
      <c r="L69" s="20"/>
      <c r="M69" s="46" t="s">
        <v>49</v>
      </c>
    </row>
    <row r="70" ht="22.5" customHeight="1">
      <c r="A70" s="20">
        <v>2016.0</v>
      </c>
      <c r="B70" s="24" t="s">
        <v>21</v>
      </c>
      <c r="C70" s="22" t="s">
        <v>185</v>
      </c>
      <c r="D70" s="22">
        <v>2.7624356E7</v>
      </c>
      <c r="E70" s="61" t="str">
        <f>HYPERLINK("mailto:andreadeabreu@gmail.com","andreadeabreu@gmail.com")</f>
        <v>andreadeabreu@gmail.com</v>
      </c>
      <c r="F70" s="22">
        <v>4.123025413E9</v>
      </c>
      <c r="G70" s="20"/>
      <c r="H70" s="20" t="s">
        <v>183</v>
      </c>
      <c r="I70" s="20"/>
      <c r="J70" s="36">
        <v>42583.0</v>
      </c>
      <c r="K70" s="36">
        <v>42605.0</v>
      </c>
      <c r="L70" s="20"/>
      <c r="M70" s="46" t="s">
        <v>49</v>
      </c>
    </row>
    <row r="71" ht="22.5" customHeight="1">
      <c r="A71" s="20">
        <v>2016.0</v>
      </c>
      <c r="B71" s="24" t="s">
        <v>21</v>
      </c>
      <c r="C71" s="22" t="s">
        <v>186</v>
      </c>
      <c r="D71" s="22">
        <v>2.7588281E7</v>
      </c>
      <c r="E71" s="61" t="str">
        <f>HYPERLINK("mailto:aminguell@yahoo.com","aminguell@yahoo.com")</f>
        <v>aminguell@yahoo.com</v>
      </c>
      <c r="F71" s="22">
        <v>4.24230858E9</v>
      </c>
      <c r="G71" s="20"/>
      <c r="H71" s="20" t="s">
        <v>183</v>
      </c>
      <c r="I71" s="20"/>
      <c r="J71" s="36">
        <v>42584.0</v>
      </c>
      <c r="K71" s="36"/>
      <c r="L71" s="20"/>
      <c r="M71" s="46" t="s">
        <v>49</v>
      </c>
    </row>
    <row r="72" ht="22.5" customHeight="1">
      <c r="A72" s="20">
        <v>2016.0</v>
      </c>
      <c r="B72" s="24" t="s">
        <v>21</v>
      </c>
      <c r="C72" s="22" t="s">
        <v>187</v>
      </c>
      <c r="D72" s="22">
        <v>2.7235243E7</v>
      </c>
      <c r="E72" s="61" t="str">
        <f>HYPERLINK("mailto:ags.110200@gmail.com","ags.110200@gmail.com")</f>
        <v>ags.110200@gmail.com</v>
      </c>
      <c r="F72" s="22">
        <v>4.24197801E9</v>
      </c>
      <c r="G72" s="20"/>
      <c r="H72" s="20" t="s">
        <v>183</v>
      </c>
      <c r="I72" s="20"/>
      <c r="J72" s="36">
        <v>42583.0</v>
      </c>
      <c r="K72" s="36"/>
      <c r="L72" s="20"/>
      <c r="M72" s="46" t="s">
        <v>49</v>
      </c>
    </row>
    <row r="73" ht="22.5" customHeight="1">
      <c r="A73" s="20">
        <v>2016.0</v>
      </c>
      <c r="B73" s="24" t="s">
        <v>21</v>
      </c>
      <c r="C73" s="22" t="s">
        <v>188</v>
      </c>
      <c r="D73" s="22">
        <v>2.7671244E7</v>
      </c>
      <c r="E73" s="61" t="str">
        <f>HYPERLINK("mailto:autanagc@gmail.com","autanagc@gmail.com")</f>
        <v>autanagc@gmail.com</v>
      </c>
      <c r="F73" s="22">
        <v>4.141290807E9</v>
      </c>
      <c r="G73" s="20"/>
      <c r="H73" s="20" t="s">
        <v>183</v>
      </c>
      <c r="I73" s="20"/>
      <c r="J73" s="36">
        <v>42584.0</v>
      </c>
      <c r="K73" s="36">
        <v>42601.0</v>
      </c>
      <c r="L73" s="20"/>
      <c r="M73" s="46" t="s">
        <v>49</v>
      </c>
    </row>
    <row r="74" ht="22.5" customHeight="1">
      <c r="A74" s="20">
        <v>2016.0</v>
      </c>
      <c r="B74" s="24" t="s">
        <v>21</v>
      </c>
      <c r="C74" s="22" t="s">
        <v>189</v>
      </c>
      <c r="D74" s="22">
        <v>2.7588257E7</v>
      </c>
      <c r="E74" s="61" t="str">
        <f>HYPERLINK("mailto:clementina-gutierrez@hotmail.com","clementina-gutierrez@hotmail.com")</f>
        <v>clementina-gutierrez@hotmail.com</v>
      </c>
      <c r="F74" s="22">
        <v>4.241327752E9</v>
      </c>
      <c r="G74" s="20"/>
      <c r="H74" s="20" t="s">
        <v>183</v>
      </c>
      <c r="I74" s="20"/>
      <c r="J74" s="36">
        <v>42584.0</v>
      </c>
      <c r="K74" s="36">
        <v>42601.0</v>
      </c>
      <c r="L74" s="20"/>
      <c r="M74" s="46" t="s">
        <v>49</v>
      </c>
    </row>
    <row r="75" ht="22.5" customHeight="1">
      <c r="A75" s="20">
        <v>2016.0</v>
      </c>
      <c r="B75" s="24" t="s">
        <v>21</v>
      </c>
      <c r="C75" s="22" t="s">
        <v>190</v>
      </c>
      <c r="D75" s="22">
        <v>2.7346176E7</v>
      </c>
      <c r="E75" s="61" t="str">
        <f>HYPERLINK("mailto:carolivares.co@gmail.com","carolivares.co@gmail.com")</f>
        <v>carolivares.co@gmail.com</v>
      </c>
      <c r="F75" s="22">
        <v>4.142233786E9</v>
      </c>
      <c r="G75" s="20"/>
      <c r="H75" s="20" t="s">
        <v>183</v>
      </c>
      <c r="I75" s="20"/>
      <c r="J75" s="36">
        <v>42928.0</v>
      </c>
      <c r="K75" s="36">
        <v>42592.0</v>
      </c>
      <c r="L75" s="20"/>
      <c r="M75" s="46" t="s">
        <v>49</v>
      </c>
    </row>
    <row r="76" ht="22.5" customHeight="1">
      <c r="A76" s="20">
        <v>2016.0</v>
      </c>
      <c r="B76" s="24" t="s">
        <v>21</v>
      </c>
      <c r="C76" s="22" t="s">
        <v>191</v>
      </c>
      <c r="D76" s="22">
        <v>2.7439029E7</v>
      </c>
      <c r="E76" s="61" t="str">
        <f>HYPERLINK("mailto:daniela.divasson@gmail.com","daniela.divasson@gmail.com")</f>
        <v>daniela.divasson@gmail.com</v>
      </c>
      <c r="F76" s="22">
        <v>4.241183158E9</v>
      </c>
      <c r="G76" s="20"/>
      <c r="H76" s="20" t="s">
        <v>183</v>
      </c>
      <c r="I76" s="20"/>
      <c r="J76" s="36">
        <v>42583.0</v>
      </c>
      <c r="K76" s="36">
        <v>42592.0</v>
      </c>
      <c r="L76" s="20"/>
      <c r="M76" s="46" t="s">
        <v>49</v>
      </c>
    </row>
    <row r="77" ht="22.5" customHeight="1">
      <c r="A77" s="20">
        <v>2016.0</v>
      </c>
      <c r="B77" s="24" t="s">
        <v>21</v>
      </c>
      <c r="C77" s="22" t="s">
        <v>192</v>
      </c>
      <c r="D77" s="22">
        <v>2.7027833E7</v>
      </c>
      <c r="E77" s="61" t="str">
        <f>HYPERLINK("mailto:daniellahaon@hotmail.com","daniellahaon@hotmail.com")</f>
        <v>daniellahaon@hotmail.com</v>
      </c>
      <c r="F77" s="22">
        <v>4.143144889E9</v>
      </c>
      <c r="G77" s="20"/>
      <c r="H77" s="20" t="s">
        <v>183</v>
      </c>
      <c r="I77" s="20"/>
      <c r="J77" s="36">
        <v>42598.0</v>
      </c>
      <c r="K77" s="36">
        <v>42632.0</v>
      </c>
      <c r="L77" s="20"/>
      <c r="M77" s="46" t="s">
        <v>49</v>
      </c>
    </row>
    <row r="78" ht="22.5" customHeight="1">
      <c r="A78" s="20">
        <v>2016.0</v>
      </c>
      <c r="B78" s="24" t="s">
        <v>21</v>
      </c>
      <c r="C78" s="22" t="s">
        <v>193</v>
      </c>
      <c r="D78" s="22">
        <v>2.7246322E7</v>
      </c>
      <c r="E78" s="22"/>
      <c r="F78" s="22">
        <v>4.241926003E9</v>
      </c>
      <c r="G78" s="20"/>
      <c r="H78" s="20" t="s">
        <v>183</v>
      </c>
      <c r="I78" s="20"/>
      <c r="J78" s="36">
        <v>42928.0</v>
      </c>
      <c r="K78" s="36">
        <v>42592.0</v>
      </c>
      <c r="L78" s="20"/>
      <c r="M78" s="46" t="s">
        <v>49</v>
      </c>
    </row>
    <row r="79" ht="22.5" customHeight="1">
      <c r="A79" s="20">
        <v>2016.0</v>
      </c>
      <c r="B79" s="24" t="s">
        <v>21</v>
      </c>
      <c r="C79" s="22" t="s">
        <v>194</v>
      </c>
      <c r="D79" s="22">
        <v>2.748825E7</v>
      </c>
      <c r="E79" s="61" t="str">
        <f>HYPERLINK("mailto:fativiky@gmail.com","fativiky@gmail.com")</f>
        <v>fativiky@gmail.com</v>
      </c>
      <c r="F79" s="22">
        <v>4.242943023E9</v>
      </c>
      <c r="G79" s="20"/>
      <c r="H79" s="20" t="s">
        <v>183</v>
      </c>
      <c r="I79" s="20"/>
      <c r="J79" s="36">
        <v>42569.0</v>
      </c>
      <c r="K79" s="36">
        <v>42592.0</v>
      </c>
      <c r="L79" s="20"/>
      <c r="M79" s="46" t="s">
        <v>49</v>
      </c>
    </row>
    <row r="80" ht="22.5" customHeight="1">
      <c r="A80" s="20">
        <v>2016.0</v>
      </c>
      <c r="B80" s="24" t="s">
        <v>21</v>
      </c>
      <c r="C80" s="22" t="s">
        <v>195</v>
      </c>
      <c r="D80" s="22">
        <v>2.778903E7</v>
      </c>
      <c r="E80" s="61" t="str">
        <f>HYPERLINK("mailto:gabrit99@hotmail.com","gabrit99@hotmail.com")</f>
        <v>gabrit99@hotmail.com</v>
      </c>
      <c r="F80" s="22">
        <v>4.241591567E9</v>
      </c>
      <c r="G80" s="20"/>
      <c r="H80" s="20" t="s">
        <v>183</v>
      </c>
      <c r="I80" s="20"/>
      <c r="J80" s="36">
        <v>42569.0</v>
      </c>
      <c r="K80" s="36">
        <v>42602.0</v>
      </c>
      <c r="L80" s="20"/>
      <c r="M80" s="46" t="s">
        <v>49</v>
      </c>
    </row>
    <row r="81" ht="22.5" customHeight="1">
      <c r="A81" s="20">
        <v>2016.0</v>
      </c>
      <c r="B81" s="24" t="s">
        <v>21</v>
      </c>
      <c r="C81" s="22" t="s">
        <v>196</v>
      </c>
      <c r="D81" s="22">
        <v>2.7373998E7</v>
      </c>
      <c r="E81" s="61" t="str">
        <f>HYPERLINK("mailto:isixbiaggi@hotmail.com","isixbiaggi@hotmail.com")</f>
        <v>isixbiaggi@hotmail.com</v>
      </c>
      <c r="F81" s="22">
        <v>4.242940847E9</v>
      </c>
      <c r="G81" s="20"/>
      <c r="H81" s="20" t="s">
        <v>183</v>
      </c>
      <c r="I81" s="20"/>
      <c r="J81" s="36">
        <v>42584.0</v>
      </c>
      <c r="K81" s="36">
        <v>42601.0</v>
      </c>
      <c r="L81" s="20"/>
      <c r="M81" s="46" t="s">
        <v>49</v>
      </c>
    </row>
    <row r="82" ht="22.5" customHeight="1">
      <c r="A82" s="20">
        <v>2016.0</v>
      </c>
      <c r="B82" s="24" t="s">
        <v>21</v>
      </c>
      <c r="C82" s="22" t="s">
        <v>197</v>
      </c>
      <c r="D82" s="22">
        <v>2.7625369E7</v>
      </c>
      <c r="E82" s="61" t="str">
        <f>HYPERLINK("mailto:isabelladiazt@gmail.com","isabelladiazt@gmail.com")</f>
        <v>isabelladiazt@gmail.com</v>
      </c>
      <c r="F82" s="22">
        <v>4.142127223E9</v>
      </c>
      <c r="G82" s="20"/>
      <c r="H82" s="20" t="s">
        <v>183</v>
      </c>
      <c r="I82" s="20"/>
      <c r="J82" s="36">
        <v>42569.0</v>
      </c>
      <c r="K82" s="36">
        <v>42592.0</v>
      </c>
      <c r="L82" s="20"/>
      <c r="M82" s="46" t="s">
        <v>49</v>
      </c>
    </row>
    <row r="83" ht="22.5" customHeight="1">
      <c r="A83" s="20">
        <v>2016.0</v>
      </c>
      <c r="B83" s="24" t="s">
        <v>21</v>
      </c>
      <c r="C83" s="22" t="s">
        <v>198</v>
      </c>
      <c r="D83" s="22">
        <v>2.7622912E7</v>
      </c>
      <c r="E83" s="61" t="str">
        <f>HYPERLINK("mailto:loredanafeliciani@gmail.com","loredanafeliciani@gmail.com")</f>
        <v>loredanafeliciani@gmail.com</v>
      </c>
      <c r="F83" s="22">
        <v>4.149218785E9</v>
      </c>
      <c r="G83" s="20"/>
      <c r="H83" s="20" t="s">
        <v>183</v>
      </c>
      <c r="I83" s="20"/>
      <c r="J83" s="36">
        <v>42928.0</v>
      </c>
      <c r="K83" s="36">
        <v>42592.0</v>
      </c>
      <c r="L83" s="20"/>
      <c r="M83" s="46" t="s">
        <v>49</v>
      </c>
    </row>
    <row r="84" ht="22.5" customHeight="1">
      <c r="A84" s="20">
        <v>2016.0</v>
      </c>
      <c r="B84" s="24" t="s">
        <v>21</v>
      </c>
      <c r="C84" s="22" t="s">
        <v>199</v>
      </c>
      <c r="D84" s="22">
        <v>2.7713876E7</v>
      </c>
      <c r="E84" s="61" t="str">
        <f>HYPERLINK("mailto:paovalen99@gmail.com","paovalen99@gmail.com")</f>
        <v>paovalen99@gmail.com</v>
      </c>
      <c r="F84" s="22">
        <v>4.123624287E9</v>
      </c>
      <c r="G84" s="20"/>
      <c r="H84" s="20" t="s">
        <v>183</v>
      </c>
      <c r="I84" s="20"/>
      <c r="J84" s="36">
        <v>42583.0</v>
      </c>
      <c r="K84" s="36">
        <v>42604.0</v>
      </c>
      <c r="L84" s="20"/>
      <c r="M84" s="46" t="s">
        <v>49</v>
      </c>
    </row>
    <row r="85" ht="22.5" customHeight="1">
      <c r="A85" s="20">
        <v>2016.0</v>
      </c>
      <c r="B85" s="24" t="s">
        <v>21</v>
      </c>
      <c r="C85" s="22" t="s">
        <v>200</v>
      </c>
      <c r="D85" s="22">
        <v>2.767046E7</v>
      </c>
      <c r="E85" s="61" t="str">
        <f>HYPERLINK("mailto:sabrina.bermudez@hotmail.com","sabrina.bermudez@hotmail.com")</f>
        <v>sabrina.bermudez@hotmail.com</v>
      </c>
      <c r="F85" s="22">
        <v>4.129233376E9</v>
      </c>
      <c r="G85" s="20"/>
      <c r="H85" s="20" t="s">
        <v>183</v>
      </c>
      <c r="I85" s="20"/>
      <c r="J85" s="36">
        <v>42569.0</v>
      </c>
      <c r="K85" s="36">
        <v>42592.0</v>
      </c>
      <c r="L85" s="20"/>
      <c r="M85" s="46" t="s">
        <v>49</v>
      </c>
    </row>
    <row r="86" ht="22.5" customHeight="1">
      <c r="A86" s="20">
        <v>2016.0</v>
      </c>
      <c r="B86" s="24" t="s">
        <v>21</v>
      </c>
      <c r="C86" s="22" t="s">
        <v>201</v>
      </c>
      <c r="D86" s="59">
        <v>2.8101122E7</v>
      </c>
      <c r="E86" s="61" t="str">
        <f>HYPERLINK("mailto:saraisalvatierra@gmail.com","saraisalvatierra@gmail.com")</f>
        <v>saraisalvatierra@gmail.com</v>
      </c>
      <c r="F86" s="22">
        <v>4.241988731E9</v>
      </c>
      <c r="G86" s="20"/>
      <c r="H86" s="20" t="s">
        <v>183</v>
      </c>
      <c r="I86" s="20"/>
      <c r="J86" s="36">
        <v>42569.0</v>
      </c>
      <c r="K86" s="36">
        <v>42592.0</v>
      </c>
      <c r="L86" s="20"/>
      <c r="M86" s="46" t="s">
        <v>49</v>
      </c>
    </row>
    <row r="87" ht="22.5" customHeight="1">
      <c r="A87" s="20">
        <v>2016.0</v>
      </c>
      <c r="B87" s="24" t="s">
        <v>21</v>
      </c>
      <c r="C87" s="22" t="s">
        <v>202</v>
      </c>
      <c r="D87" s="24">
        <v>2.8315377E7</v>
      </c>
      <c r="E87" s="33" t="str">
        <f>HYPERLINK("mailto:valentinatirado@gmail.com","valentinatirado@gmail.com")</f>
        <v>valentinatirado@gmail.com</v>
      </c>
      <c r="F87" s="24">
        <v>4.16875843E8</v>
      </c>
      <c r="G87" s="20"/>
      <c r="H87" s="20" t="s">
        <v>183</v>
      </c>
      <c r="I87" s="20"/>
      <c r="J87" s="35">
        <v>42583.0</v>
      </c>
      <c r="K87" s="35">
        <v>42593.0</v>
      </c>
      <c r="L87" s="20"/>
      <c r="M87" s="46" t="s">
        <v>49</v>
      </c>
    </row>
    <row r="88" ht="22.5" customHeight="1">
      <c r="A88" s="20">
        <v>2016.0</v>
      </c>
      <c r="B88" s="24" t="s">
        <v>21</v>
      </c>
      <c r="C88" s="22" t="s">
        <v>77</v>
      </c>
      <c r="D88" s="22"/>
      <c r="E88" s="22"/>
      <c r="F88" s="22">
        <v>4.168755843E9</v>
      </c>
      <c r="G88" s="20"/>
      <c r="H88" s="20" t="s">
        <v>183</v>
      </c>
      <c r="I88" s="20"/>
      <c r="J88" s="36">
        <v>42583.0</v>
      </c>
      <c r="K88" s="36"/>
      <c r="L88" s="20"/>
      <c r="M88" s="46" t="s">
        <v>49</v>
      </c>
    </row>
    <row r="89" ht="22.5" customHeight="1">
      <c r="A89" s="20">
        <v>2016.0</v>
      </c>
      <c r="B89" s="24" t="s">
        <v>21</v>
      </c>
      <c r="C89" s="22" t="s">
        <v>203</v>
      </c>
      <c r="D89" s="22">
        <v>2.7439563E7</v>
      </c>
      <c r="E89" s="61" t="str">
        <f>HYPERLINK("mailto:veronicapadillarey@gmail.com","veronicapadillarey@gmail.com")</f>
        <v>veronicapadillarey@gmail.com</v>
      </c>
      <c r="F89" s="22">
        <v>4.242726756E9</v>
      </c>
      <c r="G89" s="20"/>
      <c r="H89" s="20" t="s">
        <v>183</v>
      </c>
      <c r="I89" s="20"/>
      <c r="J89" s="36">
        <v>42614.0</v>
      </c>
      <c r="K89" s="36">
        <v>42641.0</v>
      </c>
      <c r="L89" s="20"/>
      <c r="M89" s="46" t="s">
        <v>49</v>
      </c>
    </row>
    <row r="90" ht="22.5" customHeight="1">
      <c r="A90" s="20">
        <v>2016.0</v>
      </c>
      <c r="B90" s="24" t="s">
        <v>21</v>
      </c>
      <c r="C90" s="22" t="s">
        <v>204</v>
      </c>
      <c r="D90" s="24">
        <v>2.7439698E7</v>
      </c>
      <c r="E90" s="61" t="str">
        <f>HYPERLINK("mailto:aliznutmash@gmail.com","aliznutmash@gmail.com")</f>
        <v>aliznutmash@gmail.com</v>
      </c>
      <c r="F90" s="22">
        <v>4.2415117E9</v>
      </c>
      <c r="G90" s="20"/>
      <c r="H90" s="20" t="s">
        <v>183</v>
      </c>
      <c r="I90" s="20"/>
      <c r="J90" s="36">
        <v>42660.0</v>
      </c>
      <c r="K90" s="90">
        <v>42871.0</v>
      </c>
      <c r="L90" s="24" t="s">
        <v>205</v>
      </c>
      <c r="M90" s="46" t="s">
        <v>49</v>
      </c>
    </row>
    <row r="91" ht="22.5" customHeight="1">
      <c r="A91" s="20">
        <v>2016.0</v>
      </c>
      <c r="B91" s="24" t="s">
        <v>21</v>
      </c>
      <c r="C91" s="22" t="s">
        <v>206</v>
      </c>
      <c r="D91" s="59">
        <v>2.6809008E7</v>
      </c>
      <c r="E91" s="61" t="str">
        <f>HYPERLINK("mailto:aandreaamzanetti@gmail.com","aandreaamzanetti@gmail.com")</f>
        <v>aandreaamzanetti@gmail.com</v>
      </c>
      <c r="F91" s="22">
        <v>4.143776989E9</v>
      </c>
      <c r="G91" s="20"/>
      <c r="H91" s="20" t="s">
        <v>183</v>
      </c>
      <c r="I91" s="20"/>
      <c r="J91" s="36">
        <v>42660.0</v>
      </c>
      <c r="K91" s="90">
        <v>42871.0</v>
      </c>
      <c r="L91" s="24" t="s">
        <v>205</v>
      </c>
      <c r="M91" s="46" t="s">
        <v>49</v>
      </c>
    </row>
    <row r="92" ht="22.5" customHeight="1">
      <c r="A92" s="20">
        <v>2016.0</v>
      </c>
      <c r="B92" s="24" t="s">
        <v>21</v>
      </c>
      <c r="C92" s="22" t="s">
        <v>207</v>
      </c>
      <c r="D92" s="59">
        <v>2.8053556E7</v>
      </c>
      <c r="E92" s="61" t="str">
        <f>HYPERLINK("mailto:isabellamd18@gmail.com","isabellamd18@gmail.com")</f>
        <v>isabellamd18@gmail.com</v>
      </c>
      <c r="F92" s="22">
        <v>4.143110605E9</v>
      </c>
      <c r="G92" s="20"/>
      <c r="H92" s="20" t="s">
        <v>183</v>
      </c>
      <c r="I92" s="20"/>
      <c r="J92" s="36">
        <v>42660.0</v>
      </c>
      <c r="K92" s="90">
        <v>42871.0</v>
      </c>
      <c r="L92" s="24" t="s">
        <v>205</v>
      </c>
      <c r="M92" s="46" t="s">
        <v>49</v>
      </c>
    </row>
    <row r="93" ht="22.5" customHeight="1">
      <c r="A93" s="20">
        <v>2016.0</v>
      </c>
      <c r="B93" s="24" t="s">
        <v>21</v>
      </c>
      <c r="C93" s="22" t="s">
        <v>208</v>
      </c>
      <c r="D93" s="59">
        <v>2.7439696E7</v>
      </c>
      <c r="E93" s="61" t="str">
        <f>HYPERLINK("mailto:msipala17@gmail.com","msipala17@gmail.com")</f>
        <v>msipala17@gmail.com</v>
      </c>
      <c r="F93" s="22">
        <v>4.142540808E9</v>
      </c>
      <c r="G93" s="20"/>
      <c r="H93" s="20" t="s">
        <v>183</v>
      </c>
      <c r="I93" s="20"/>
      <c r="J93" s="36">
        <v>42661.0</v>
      </c>
      <c r="K93" s="90">
        <v>42871.0</v>
      </c>
      <c r="L93" s="24" t="s">
        <v>205</v>
      </c>
      <c r="M93" s="46" t="s">
        <v>49</v>
      </c>
    </row>
    <row r="94" ht="22.5" customHeight="1">
      <c r="A94" s="20">
        <v>2016.0</v>
      </c>
      <c r="B94" s="24" t="s">
        <v>21</v>
      </c>
      <c r="C94" s="22" t="s">
        <v>209</v>
      </c>
      <c r="D94" s="22">
        <v>2.6963893E7</v>
      </c>
      <c r="E94" s="61" t="str">
        <f>HYPERLINK("mailto:pipasabrina@hotmail.com","pipasabrina@hotmail.com")</f>
        <v>pipasabrina@hotmail.com</v>
      </c>
      <c r="F94" s="22">
        <v>4.246951947E9</v>
      </c>
      <c r="G94" s="20"/>
      <c r="H94" s="20" t="s">
        <v>183</v>
      </c>
      <c r="I94" s="20"/>
      <c r="J94" s="36">
        <v>42661.0</v>
      </c>
      <c r="K94" s="90">
        <v>42871.0</v>
      </c>
      <c r="L94" s="24" t="s">
        <v>205</v>
      </c>
      <c r="M94" s="46" t="s">
        <v>49</v>
      </c>
    </row>
    <row r="95" ht="22.5" customHeight="1">
      <c r="A95" s="20">
        <v>2016.0</v>
      </c>
      <c r="B95" s="24" t="s">
        <v>21</v>
      </c>
      <c r="C95" s="22" t="s">
        <v>210</v>
      </c>
      <c r="D95" s="22">
        <v>2.762453E7</v>
      </c>
      <c r="E95" s="61" t="str">
        <f>HYPERLINK("mailto:xpugarte@gmail.com","xpugarte@gmail.com")</f>
        <v>xpugarte@gmail.com</v>
      </c>
      <c r="F95" s="22">
        <v>4.242800644E9</v>
      </c>
      <c r="G95" s="20"/>
      <c r="H95" s="20" t="s">
        <v>183</v>
      </c>
      <c r="I95" s="20"/>
      <c r="J95" s="36">
        <v>42695.0</v>
      </c>
      <c r="K95" s="90">
        <v>42871.0</v>
      </c>
      <c r="L95" s="24" t="s">
        <v>205</v>
      </c>
      <c r="M95" s="46" t="s">
        <v>49</v>
      </c>
    </row>
    <row r="96" ht="22.5" customHeight="1">
      <c r="A96" s="20">
        <v>2016.0</v>
      </c>
      <c r="B96" s="24" t="s">
        <v>21</v>
      </c>
      <c r="C96" s="22" t="s">
        <v>211</v>
      </c>
      <c r="D96" s="41">
        <v>3.014204E7</v>
      </c>
      <c r="E96" s="33" t="str">
        <f>HYPERLINK("mailto:isafalper29@gmail.com","isafalper29@gmail.com")</f>
        <v>isafalper29@gmail.com</v>
      </c>
      <c r="F96" s="24">
        <v>4.241206884E9</v>
      </c>
      <c r="G96" s="20"/>
      <c r="H96" s="20" t="s">
        <v>212</v>
      </c>
      <c r="I96" s="20"/>
      <c r="J96" s="35">
        <v>42662.0</v>
      </c>
      <c r="K96" s="20"/>
      <c r="L96" s="107" t="s">
        <v>213</v>
      </c>
      <c r="M96" s="46" t="s">
        <v>49</v>
      </c>
    </row>
    <row r="97" ht="22.5" customHeight="1">
      <c r="A97" s="20">
        <v>2016.0</v>
      </c>
      <c r="B97" s="24" t="s">
        <v>21</v>
      </c>
      <c r="C97" s="22" t="s">
        <v>214</v>
      </c>
      <c r="D97" s="41">
        <v>2.7916759E7</v>
      </c>
      <c r="E97" s="33" t="str">
        <f>HYPERLINK("mailto:victoria_2000_01@hotmail.com","victoria_2000_01@hotmail.com")</f>
        <v>victoria_2000_01@hotmail.com</v>
      </c>
      <c r="F97" s="24">
        <v>4.266045133E9</v>
      </c>
      <c r="G97" s="20"/>
      <c r="H97" s="20" t="s">
        <v>215</v>
      </c>
      <c r="I97" s="20"/>
      <c r="J97" s="35">
        <v>42597.0</v>
      </c>
      <c r="K97" s="35">
        <v>42641.0</v>
      </c>
      <c r="L97" s="24"/>
      <c r="M97" s="46" t="s">
        <v>49</v>
      </c>
    </row>
    <row r="98" ht="22.5" customHeight="1">
      <c r="A98" s="20">
        <v>2016.0</v>
      </c>
      <c r="B98" s="24" t="s">
        <v>21</v>
      </c>
      <c r="C98" s="22" t="s">
        <v>216</v>
      </c>
      <c r="D98" s="41">
        <v>2.7660144E7</v>
      </c>
      <c r="E98" s="33" t="str">
        <f>HYPERLINK("mailto:dayaed@hotmail.com","dayaed@hotmail.com")</f>
        <v>dayaed@hotmail.com</v>
      </c>
      <c r="F98" s="24">
        <v>4.143375852E9</v>
      </c>
      <c r="G98" s="20"/>
      <c r="H98" s="20" t="s">
        <v>215</v>
      </c>
      <c r="I98" s="20"/>
      <c r="J98" s="35">
        <v>42598.0</v>
      </c>
      <c r="K98" s="35"/>
      <c r="L98" s="24" t="s">
        <v>217</v>
      </c>
      <c r="M98" s="46" t="s">
        <v>49</v>
      </c>
    </row>
    <row r="99" ht="22.5" customHeight="1">
      <c r="A99" s="20">
        <v>2016.0</v>
      </c>
      <c r="B99" s="24" t="s">
        <v>21</v>
      </c>
      <c r="C99" s="22" t="s">
        <v>218</v>
      </c>
      <c r="D99" s="41">
        <v>2.7752852E7</v>
      </c>
      <c r="E99" s="33" t="str">
        <f>HYPERLINK("mailto:m3ch21@hotmail.com","m3ch21@hotmail.com")</f>
        <v>m3ch21@hotmail.com</v>
      </c>
      <c r="F99" s="24" t="s">
        <v>219</v>
      </c>
      <c r="G99" s="20"/>
      <c r="H99" s="20" t="s">
        <v>215</v>
      </c>
      <c r="I99" s="20"/>
      <c r="J99" s="35">
        <v>42597.0</v>
      </c>
      <c r="K99" s="35">
        <v>42641.0</v>
      </c>
      <c r="L99" s="24"/>
      <c r="M99" s="46" t="s">
        <v>49</v>
      </c>
    </row>
    <row r="100" ht="22.5" customHeight="1">
      <c r="A100" s="20">
        <v>2016.0</v>
      </c>
      <c r="B100" s="24" t="s">
        <v>21</v>
      </c>
      <c r="C100" s="22" t="s">
        <v>220</v>
      </c>
      <c r="D100" s="41">
        <v>2.7333849E7</v>
      </c>
      <c r="E100" s="33" t="str">
        <f>HYPERLINK("mailto:victorgueteq@gmail.com","victorgueteq@gmail.com")</f>
        <v>victorgueteq@gmail.com</v>
      </c>
      <c r="F100" s="24">
        <v>4.143359746E9</v>
      </c>
      <c r="G100" s="20"/>
      <c r="H100" s="20" t="s">
        <v>215</v>
      </c>
      <c r="I100" s="20"/>
      <c r="J100" s="35">
        <v>42570.0</v>
      </c>
      <c r="K100" s="35">
        <v>42620.0</v>
      </c>
      <c r="L100" s="24"/>
      <c r="M100" s="46" t="s">
        <v>49</v>
      </c>
    </row>
    <row r="101" ht="22.5" customHeight="1">
      <c r="A101" s="20">
        <v>2016.0</v>
      </c>
      <c r="B101" s="24" t="s">
        <v>21</v>
      </c>
      <c r="C101" s="22" t="s">
        <v>221</v>
      </c>
      <c r="D101" s="41">
        <v>2.7660108E7</v>
      </c>
      <c r="E101" s="33" t="str">
        <f>HYPERLINK("mailto:dayaed@hotmail.com","dayaed@hotmail.com")</f>
        <v>dayaed@hotmail.com</v>
      </c>
      <c r="F101" s="24">
        <v>4.143375852E9</v>
      </c>
      <c r="G101" s="20"/>
      <c r="H101" s="20" t="s">
        <v>215</v>
      </c>
      <c r="I101" s="20"/>
      <c r="J101" s="35">
        <v>42598.0</v>
      </c>
      <c r="K101" s="35"/>
      <c r="L101" s="24" t="s">
        <v>217</v>
      </c>
      <c r="M101" s="46" t="s">
        <v>49</v>
      </c>
    </row>
    <row r="102" ht="22.5" customHeight="1">
      <c r="A102" s="20">
        <v>2016.0</v>
      </c>
      <c r="B102" s="24" t="s">
        <v>21</v>
      </c>
      <c r="C102" s="22" t="s">
        <v>222</v>
      </c>
      <c r="D102" s="41">
        <v>2.7818979E7</v>
      </c>
      <c r="E102" s="33" t="str">
        <f>HYPERLINK("mailto:mcardoso0601@hotmail.com","mcardoso0601@hotmail.com")</f>
        <v>mcardoso0601@hotmail.com</v>
      </c>
      <c r="F102" s="24" t="s">
        <v>223</v>
      </c>
      <c r="G102" s="20"/>
      <c r="H102" s="20" t="s">
        <v>215</v>
      </c>
      <c r="I102" s="20"/>
      <c r="J102" s="35">
        <v>42661.0</v>
      </c>
      <c r="K102" s="35">
        <v>42754.0</v>
      </c>
      <c r="L102" s="24" t="s">
        <v>224</v>
      </c>
      <c r="M102" s="46" t="s">
        <v>49</v>
      </c>
    </row>
    <row r="103" ht="22.5" customHeight="1">
      <c r="A103" s="20">
        <v>2016.0</v>
      </c>
      <c r="B103" s="24" t="s">
        <v>21</v>
      </c>
      <c r="C103" s="22" t="s">
        <v>225</v>
      </c>
      <c r="D103" s="41">
        <v>2.730932E7</v>
      </c>
      <c r="E103" s="33" t="str">
        <f>HYPERLINK("mailto:mariannisgonzalezbarros@hotmail.com","mariannisgonzalezbarros@hotmail.com")</f>
        <v>mariannisgonzalezbarros@hotmail.com</v>
      </c>
      <c r="F103" s="24" t="s">
        <v>226</v>
      </c>
      <c r="G103" s="20"/>
      <c r="H103" s="20" t="s">
        <v>215</v>
      </c>
      <c r="I103" s="20"/>
      <c r="J103" s="35">
        <v>42661.0</v>
      </c>
      <c r="K103" s="35">
        <v>42802.0</v>
      </c>
      <c r="L103" s="24"/>
      <c r="M103" s="46" t="s">
        <v>49</v>
      </c>
    </row>
    <row r="104" ht="22.5" customHeight="1">
      <c r="A104" s="20">
        <v>2016.0</v>
      </c>
      <c r="B104" s="24" t="s">
        <v>21</v>
      </c>
      <c r="C104" s="22" t="s">
        <v>227</v>
      </c>
      <c r="D104" s="41">
        <v>2.7615155E7</v>
      </c>
      <c r="E104" s="33" t="str">
        <f>HYPERLINK("mailto:sarahfranco11@gmail.com","sarahfranco11@gmail.com")</f>
        <v>sarahfranco11@gmail.com</v>
      </c>
      <c r="F104" s="24">
        <v>4.14224296E9</v>
      </c>
      <c r="G104" s="20"/>
      <c r="H104" s="20" t="s">
        <v>215</v>
      </c>
      <c r="I104" s="20"/>
      <c r="J104" s="35">
        <v>42667.0</v>
      </c>
      <c r="K104" s="35">
        <v>42828.0</v>
      </c>
      <c r="L104" s="24"/>
      <c r="M104" s="46" t="s">
        <v>49</v>
      </c>
    </row>
    <row r="105" ht="22.5" customHeight="1">
      <c r="A105" s="20">
        <v>2016.0</v>
      </c>
      <c r="B105" s="24" t="s">
        <v>21</v>
      </c>
      <c r="C105" s="22" t="s">
        <v>228</v>
      </c>
      <c r="D105" s="22"/>
      <c r="E105" s="61" t="str">
        <f>HYPERLINK("mailto:k_alejandrar@hotmail.com","k_alejandrar@hotmail.com")</f>
        <v>k_alejandrar@hotmail.com</v>
      </c>
      <c r="F105" s="22">
        <v>4.162926158E9</v>
      </c>
      <c r="G105" s="20"/>
      <c r="H105" s="20" t="s">
        <v>229</v>
      </c>
      <c r="I105" s="20"/>
      <c r="J105" s="36">
        <v>42391.0</v>
      </c>
      <c r="K105" s="20"/>
      <c r="L105" s="22" t="s">
        <v>230</v>
      </c>
      <c r="M105" s="46" t="s">
        <v>49</v>
      </c>
    </row>
    <row r="106" ht="22.5" customHeight="1">
      <c r="A106" s="20">
        <v>2016.0</v>
      </c>
      <c r="B106" s="24" t="s">
        <v>21</v>
      </c>
      <c r="C106" s="22" t="s">
        <v>231</v>
      </c>
      <c r="D106" s="22">
        <v>2.8426637E7</v>
      </c>
      <c r="E106" s="61" t="str">
        <f>HYPERLINK("mailto:sofiapestana16@hotmail.com","sofiapestana16@hotmail.com")</f>
        <v>sofiapestana16@hotmail.com</v>
      </c>
      <c r="F106" s="22">
        <v>4.125632891E9</v>
      </c>
      <c r="G106" s="20"/>
      <c r="H106" s="20" t="s">
        <v>229</v>
      </c>
      <c r="I106" s="20"/>
      <c r="J106" s="36">
        <v>42391.0</v>
      </c>
      <c r="K106" s="20"/>
      <c r="L106" s="22"/>
      <c r="M106" s="46" t="s">
        <v>49</v>
      </c>
    </row>
    <row r="107" ht="22.5" customHeight="1">
      <c r="A107" s="20">
        <v>2016.0</v>
      </c>
      <c r="B107" s="24" t="s">
        <v>21</v>
      </c>
      <c r="C107" s="22" t="s">
        <v>232</v>
      </c>
      <c r="D107" s="22"/>
      <c r="E107" s="61" t="str">
        <f>HYPERLINK("mailto:willbri_77@hotmail.com","willbri_77@hotmail.com")</f>
        <v>willbri_77@hotmail.com</v>
      </c>
      <c r="F107" s="22">
        <v>4.262111177E9</v>
      </c>
      <c r="G107" s="20"/>
      <c r="H107" s="20" t="s">
        <v>229</v>
      </c>
      <c r="I107" s="20"/>
      <c r="J107" s="36">
        <v>42391.0</v>
      </c>
      <c r="K107" s="20"/>
      <c r="L107" s="22" t="s">
        <v>230</v>
      </c>
      <c r="M107" s="46" t="s">
        <v>49</v>
      </c>
    </row>
    <row r="108" ht="22.5" customHeight="1">
      <c r="A108" s="20">
        <v>2016.0</v>
      </c>
      <c r="B108" s="24" t="s">
        <v>21</v>
      </c>
      <c r="C108" s="22" t="s">
        <v>233</v>
      </c>
      <c r="D108" s="59">
        <v>2.8426151E7</v>
      </c>
      <c r="E108" s="61" t="str">
        <f>HYPERLINK("mailto:christophercolmenarezv@gmail.com","christophercolmenarezv@gmail.com")</f>
        <v>christophercolmenarezv@gmail.com</v>
      </c>
      <c r="F108" s="22">
        <v>4.149101388E9</v>
      </c>
      <c r="G108" s="20"/>
      <c r="H108" s="20" t="s">
        <v>234</v>
      </c>
      <c r="I108" s="20"/>
      <c r="J108" s="36">
        <v>42457.0</v>
      </c>
      <c r="K108" s="36">
        <v>42524.0</v>
      </c>
      <c r="L108" s="20"/>
      <c r="M108" s="46" t="s">
        <v>49</v>
      </c>
    </row>
    <row r="109" ht="22.5" customHeight="1">
      <c r="A109" s="20">
        <v>2016.0</v>
      </c>
      <c r="B109" s="24" t="s">
        <v>21</v>
      </c>
      <c r="C109" s="22" t="s">
        <v>235</v>
      </c>
      <c r="D109" s="22"/>
      <c r="E109" s="22" t="s">
        <v>236</v>
      </c>
      <c r="F109" s="22"/>
      <c r="G109" s="20"/>
      <c r="H109" s="20" t="s">
        <v>234</v>
      </c>
      <c r="I109" s="20"/>
      <c r="J109" s="36">
        <v>42278.0</v>
      </c>
      <c r="K109" s="36">
        <v>42505.0</v>
      </c>
      <c r="L109" s="20"/>
      <c r="M109" s="46" t="s">
        <v>49</v>
      </c>
    </row>
    <row r="110" ht="22.5" customHeight="1">
      <c r="A110" s="20">
        <v>2016.0</v>
      </c>
      <c r="B110" s="24" t="s">
        <v>21</v>
      </c>
      <c r="C110" s="22" t="s">
        <v>237</v>
      </c>
      <c r="D110" s="59">
        <v>2.6528863E7</v>
      </c>
      <c r="E110" s="61" t="str">
        <f>HYPERLINK("mailto:luisandresnievescasique@gmail.com","luisandresnievescasique@gmail.com")</f>
        <v>luisandresnievescasique@gmail.com</v>
      </c>
      <c r="F110" s="22">
        <v>4.143022305E9</v>
      </c>
      <c r="G110" s="20"/>
      <c r="H110" s="20" t="s">
        <v>234</v>
      </c>
      <c r="I110" s="20"/>
      <c r="J110" s="36">
        <v>42464.0</v>
      </c>
      <c r="K110" s="36">
        <v>42548.0</v>
      </c>
      <c r="L110" s="20"/>
      <c r="M110" s="46" t="s">
        <v>49</v>
      </c>
    </row>
    <row r="111" ht="22.5" customHeight="1">
      <c r="A111" s="20">
        <v>2016.0</v>
      </c>
      <c r="B111" s="24" t="s">
        <v>21</v>
      </c>
      <c r="C111" s="22" t="s">
        <v>238</v>
      </c>
      <c r="D111" s="59">
        <v>2.7904338E7</v>
      </c>
      <c r="E111" s="22" t="s">
        <v>236</v>
      </c>
      <c r="F111" s="22"/>
      <c r="G111" s="20"/>
      <c r="H111" s="20" t="s">
        <v>234</v>
      </c>
      <c r="I111" s="20"/>
      <c r="J111" s="36">
        <v>42278.0</v>
      </c>
      <c r="K111" s="36">
        <v>42505.0</v>
      </c>
      <c r="L111" s="20"/>
      <c r="M111" s="46" t="s">
        <v>49</v>
      </c>
    </row>
    <row r="112" ht="22.5" customHeight="1">
      <c r="A112" s="20">
        <v>2016.0</v>
      </c>
      <c r="B112" s="24" t="s">
        <v>21</v>
      </c>
      <c r="C112" s="22" t="s">
        <v>239</v>
      </c>
      <c r="D112" s="59">
        <v>2.815874E7</v>
      </c>
      <c r="E112" s="22" t="s">
        <v>236</v>
      </c>
      <c r="F112" s="22">
        <v>4.24274758E9</v>
      </c>
      <c r="G112" s="20"/>
      <c r="H112" s="20" t="s">
        <v>234</v>
      </c>
      <c r="I112" s="20"/>
      <c r="J112" s="36">
        <v>42278.0</v>
      </c>
      <c r="K112" s="36">
        <v>42505.0</v>
      </c>
      <c r="L112" s="20"/>
      <c r="M112" s="46" t="s">
        <v>49</v>
      </c>
    </row>
    <row r="113" ht="22.5" customHeight="1">
      <c r="A113" s="20">
        <v>2016.0</v>
      </c>
      <c r="B113" s="24" t="s">
        <v>21</v>
      </c>
      <c r="C113" s="22" t="s">
        <v>240</v>
      </c>
      <c r="D113" s="59">
        <v>2.7246318E7</v>
      </c>
      <c r="E113" s="61" t="str">
        <f>HYPERLINK("mailto:oricardenas8@gmail.com","oricardenas8@gmail.com")</f>
        <v>oricardenas8@gmail.com</v>
      </c>
      <c r="F113" s="22">
        <v>4.149022098E9</v>
      </c>
      <c r="G113" s="20"/>
      <c r="H113" s="20" t="s">
        <v>234</v>
      </c>
      <c r="I113" s="20"/>
      <c r="J113" s="36">
        <v>42457.0</v>
      </c>
      <c r="K113" s="36">
        <v>42499.0</v>
      </c>
      <c r="L113" s="20"/>
      <c r="M113" s="46" t="s">
        <v>49</v>
      </c>
    </row>
    <row r="114" ht="22.5" customHeight="1">
      <c r="A114" s="20">
        <v>2016.0</v>
      </c>
      <c r="B114" s="24" t="s">
        <v>21</v>
      </c>
      <c r="C114" s="22" t="s">
        <v>241</v>
      </c>
      <c r="D114" s="59">
        <v>2.6731974E7</v>
      </c>
      <c r="E114" s="61" t="str">
        <f>HYPERLINK("mailto:sofia@savoca.net","sofia@savoca.net")</f>
        <v>sofia@savoca.net</v>
      </c>
      <c r="F114" s="22">
        <v>4.143073341E9</v>
      </c>
      <c r="G114" s="20"/>
      <c r="H114" s="20" t="s">
        <v>234</v>
      </c>
      <c r="I114" s="20"/>
      <c r="J114" s="36">
        <v>42530.0</v>
      </c>
      <c r="K114" s="36">
        <v>42559.0</v>
      </c>
      <c r="L114" s="20"/>
      <c r="M114" s="46" t="s">
        <v>49</v>
      </c>
    </row>
    <row r="115" ht="22.5" customHeight="1">
      <c r="A115" s="20">
        <v>2016.0</v>
      </c>
      <c r="B115" s="24" t="s">
        <v>21</v>
      </c>
      <c r="C115" s="22" t="s">
        <v>242</v>
      </c>
      <c r="D115" s="20"/>
      <c r="E115" s="61" t="str">
        <f>HYPERLINK("mailto:ana.gabriela0097@gmail.com","ana.gabriela0097@gmail.com")</f>
        <v>ana.gabriela0097@gmail.com</v>
      </c>
      <c r="F115" s="22">
        <v>4.123740011E9</v>
      </c>
      <c r="G115" s="20"/>
      <c r="H115" s="20" t="s">
        <v>243</v>
      </c>
      <c r="I115" s="20"/>
      <c r="J115" s="36">
        <v>42503.0</v>
      </c>
      <c r="K115" s="36">
        <v>42497.0</v>
      </c>
      <c r="L115" s="20"/>
      <c r="M115" s="46" t="s">
        <v>49</v>
      </c>
    </row>
    <row r="116" ht="22.5" customHeight="1">
      <c r="A116" s="20">
        <v>2017.0</v>
      </c>
      <c r="B116" s="24" t="s">
        <v>21</v>
      </c>
      <c r="C116" s="71" t="s">
        <v>244</v>
      </c>
      <c r="D116" s="20">
        <v>2.7790612E7</v>
      </c>
      <c r="E116" s="20" t="s">
        <v>245</v>
      </c>
      <c r="F116" s="20">
        <v>4.241267678E9</v>
      </c>
      <c r="G116" s="108">
        <v>43015.0</v>
      </c>
      <c r="H116" s="20" t="s">
        <v>246</v>
      </c>
      <c r="I116" s="20"/>
      <c r="J116" s="109">
        <v>43039.0</v>
      </c>
      <c r="K116" s="109">
        <v>43060.0</v>
      </c>
      <c r="L116" s="20"/>
      <c r="M116" s="46" t="s">
        <v>247</v>
      </c>
    </row>
    <row r="117" ht="22.5" customHeight="1">
      <c r="A117" s="20">
        <v>2017.0</v>
      </c>
      <c r="B117" s="24" t="s">
        <v>21</v>
      </c>
      <c r="C117" s="71" t="s">
        <v>248</v>
      </c>
      <c r="D117" s="20">
        <v>3.0157748E7</v>
      </c>
      <c r="E117" s="20" t="s">
        <v>249</v>
      </c>
      <c r="F117" s="20">
        <v>4.127180755E9</v>
      </c>
      <c r="G117" s="108">
        <v>43015.0</v>
      </c>
      <c r="H117" s="20" t="s">
        <v>246</v>
      </c>
      <c r="I117" s="20"/>
      <c r="J117" s="109">
        <v>43039.0</v>
      </c>
      <c r="K117" s="109">
        <v>43060.0</v>
      </c>
      <c r="L117" s="20"/>
      <c r="M117" s="46" t="s">
        <v>250</v>
      </c>
    </row>
    <row r="118" ht="22.5" customHeight="1">
      <c r="A118" s="20">
        <v>2017.0</v>
      </c>
      <c r="B118" s="24" t="s">
        <v>21</v>
      </c>
      <c r="C118" s="71" t="s">
        <v>251</v>
      </c>
      <c r="D118" s="24">
        <v>2.9651384E7</v>
      </c>
      <c r="E118" s="24" t="s">
        <v>252</v>
      </c>
      <c r="F118" s="24">
        <v>4.141104851E9</v>
      </c>
      <c r="G118" s="110">
        <v>43027.0</v>
      </c>
      <c r="H118" s="20" t="s">
        <v>246</v>
      </c>
      <c r="I118" s="20"/>
      <c r="J118" s="110"/>
      <c r="K118" s="111">
        <v>43076.0</v>
      </c>
      <c r="L118" s="20"/>
      <c r="M118" s="46" t="s">
        <v>247</v>
      </c>
    </row>
    <row r="119" ht="22.5" customHeight="1">
      <c r="A119" s="20">
        <v>2017.0</v>
      </c>
      <c r="B119" s="24" t="s">
        <v>21</v>
      </c>
      <c r="C119" s="71" t="s">
        <v>253</v>
      </c>
      <c r="D119" s="20">
        <v>2.7671679E7</v>
      </c>
      <c r="E119" s="20" t="s">
        <v>254</v>
      </c>
      <c r="F119" s="20">
        <v>4.24238359E9</v>
      </c>
      <c r="G119" s="109">
        <v>43027.0</v>
      </c>
      <c r="H119" s="20" t="s">
        <v>246</v>
      </c>
      <c r="I119" s="20"/>
      <c r="J119" s="108">
        <v>43046.0</v>
      </c>
      <c r="K119" s="90">
        <v>43112.0</v>
      </c>
      <c r="L119" s="20"/>
      <c r="M119" s="46" t="s">
        <v>247</v>
      </c>
    </row>
    <row r="120" ht="22.5" customHeight="1">
      <c r="A120" s="20">
        <v>2017.0</v>
      </c>
      <c r="B120" s="24" t="s">
        <v>21</v>
      </c>
      <c r="C120" s="22" t="s">
        <v>255</v>
      </c>
      <c r="D120" s="41">
        <v>2.8014029E7</v>
      </c>
      <c r="E120" s="33" t="str">
        <f>HYPERLINK("mailto:Catherine.porciello@gmail.com","Catherine.porciello@gmail.com")</f>
        <v>Catherine.porciello@gmail.com</v>
      </c>
      <c r="F120" s="24" t="s">
        <v>256</v>
      </c>
      <c r="G120" s="35">
        <v>42927.0</v>
      </c>
      <c r="H120" s="20" t="s">
        <v>68</v>
      </c>
      <c r="I120" s="20"/>
      <c r="J120" s="35">
        <v>43011.0</v>
      </c>
      <c r="K120" s="110">
        <v>43062.0</v>
      </c>
      <c r="L120" s="24" t="s">
        <v>257</v>
      </c>
      <c r="M120" s="46" t="s">
        <v>247</v>
      </c>
    </row>
    <row r="121" ht="22.5" customHeight="1">
      <c r="A121" s="20">
        <v>2017.0</v>
      </c>
      <c r="B121" s="24" t="s">
        <v>21</v>
      </c>
      <c r="C121" s="22" t="s">
        <v>258</v>
      </c>
      <c r="D121" s="41">
        <v>2.7770828E7</v>
      </c>
      <c r="E121" s="33" t="str">
        <f>HYPERLINK("mailto:marialecontreras2000@gmail.com","marialecontreras2000@gmail.com")</f>
        <v>marialecontreras2000@gmail.com</v>
      </c>
      <c r="F121" s="24">
        <v>4.242413768E9</v>
      </c>
      <c r="G121" s="35">
        <v>42927.0</v>
      </c>
      <c r="H121" s="20" t="s">
        <v>68</v>
      </c>
      <c r="I121" s="20"/>
      <c r="J121" s="35">
        <v>42929.0</v>
      </c>
      <c r="K121" s="35">
        <v>42971.0</v>
      </c>
      <c r="L121" s="20"/>
      <c r="M121" s="46" t="s">
        <v>247</v>
      </c>
    </row>
    <row r="122" ht="22.5" customHeight="1">
      <c r="A122" s="20">
        <v>2017.0</v>
      </c>
      <c r="B122" s="24" t="s">
        <v>21</v>
      </c>
      <c r="C122" s="22" t="s">
        <v>259</v>
      </c>
      <c r="D122" s="41">
        <v>2.8302629E7</v>
      </c>
      <c r="E122" s="33" t="str">
        <f>HYPERLINK("mailto:richelmariana121@gmail.com","richelmariana121@gmail.com")</f>
        <v>richelmariana121@gmail.com</v>
      </c>
      <c r="F122" s="24">
        <v>4.142594072E9</v>
      </c>
      <c r="G122" s="35">
        <v>42948.0</v>
      </c>
      <c r="H122" s="20" t="s">
        <v>68</v>
      </c>
      <c r="I122" s="20"/>
      <c r="J122" s="35">
        <v>42949.0</v>
      </c>
      <c r="K122" s="35">
        <v>42979.0</v>
      </c>
      <c r="L122" s="20"/>
      <c r="M122" s="46" t="s">
        <v>247</v>
      </c>
    </row>
    <row r="123" ht="22.5" customHeight="1">
      <c r="A123" s="20">
        <v>2017.0</v>
      </c>
      <c r="B123" s="24" t="s">
        <v>260</v>
      </c>
      <c r="C123" s="22" t="s">
        <v>261</v>
      </c>
      <c r="D123" s="24">
        <v>2.9780126E7</v>
      </c>
      <c r="E123" s="33" t="str">
        <f>HYPERLINK("mailto:danilubiris1@gmail.com","danilubiris1@gmail.com")</f>
        <v>danilubiris1@gmail.com</v>
      </c>
      <c r="F123" s="24">
        <v>4.128147078E9</v>
      </c>
      <c r="G123" s="35">
        <v>42990.0</v>
      </c>
      <c r="H123" s="20" t="s">
        <v>262</v>
      </c>
      <c r="I123" s="20"/>
      <c r="J123" s="111">
        <v>42996.0</v>
      </c>
      <c r="K123" s="111">
        <v>43007.0</v>
      </c>
      <c r="L123" s="24" t="s">
        <v>263</v>
      </c>
      <c r="M123" s="38" t="s">
        <v>264</v>
      </c>
    </row>
    <row r="124" ht="22.5" customHeight="1">
      <c r="A124" s="20">
        <v>2017.0</v>
      </c>
      <c r="B124" s="24" t="s">
        <v>260</v>
      </c>
      <c r="C124" s="22" t="s">
        <v>265</v>
      </c>
      <c r="D124" s="24">
        <v>2.8189825E7</v>
      </c>
      <c r="E124" s="33" t="str">
        <f>HYPERLINK("mailto:leonorgy01@gmail.com","leonorgy01@gmail.com")</f>
        <v>leonorgy01@gmail.com</v>
      </c>
      <c r="F124" s="24">
        <v>4.127944985E9</v>
      </c>
      <c r="G124" s="35">
        <v>42990.0</v>
      </c>
      <c r="H124" s="20" t="s">
        <v>262</v>
      </c>
      <c r="I124" s="20"/>
      <c r="J124" s="35">
        <v>42997.0</v>
      </c>
      <c r="K124" s="35">
        <v>43025.0</v>
      </c>
      <c r="L124" s="24" t="s">
        <v>266</v>
      </c>
      <c r="M124" s="46" t="s">
        <v>247</v>
      </c>
    </row>
    <row r="125" ht="22.5" customHeight="1">
      <c r="A125" s="20">
        <v>2017.0</v>
      </c>
      <c r="B125" s="24" t="s">
        <v>260</v>
      </c>
      <c r="C125" s="22" t="s">
        <v>267</v>
      </c>
      <c r="D125" s="24">
        <v>2.8158752E7</v>
      </c>
      <c r="E125" s="33" t="str">
        <f>HYPERLINK("mailto:mbbabchsgil@gmail.com","mbbabchsgil@gmail.com")</f>
        <v>mbbabchsgil@gmail.com</v>
      </c>
      <c r="F125" s="24">
        <v>4.241202114E9</v>
      </c>
      <c r="G125" s="35">
        <v>42625.0</v>
      </c>
      <c r="H125" s="20" t="s">
        <v>262</v>
      </c>
      <c r="I125" s="20"/>
      <c r="J125" s="111">
        <v>42996.0</v>
      </c>
      <c r="K125" s="111">
        <v>43007.0</v>
      </c>
      <c r="L125" s="24" t="s">
        <v>263</v>
      </c>
      <c r="M125" s="38" t="s">
        <v>264</v>
      </c>
    </row>
    <row r="126" ht="22.5" customHeight="1">
      <c r="A126" s="20">
        <v>2017.0</v>
      </c>
      <c r="B126" s="24" t="s">
        <v>21</v>
      </c>
      <c r="C126" s="22" t="s">
        <v>268</v>
      </c>
      <c r="D126" s="20"/>
      <c r="E126" s="61" t="str">
        <f>HYPERLINK("mailto:veromarques11@gmail.com","veromarques11@gmail.com")</f>
        <v>veromarques11@gmail.com</v>
      </c>
      <c r="F126" s="22">
        <v>4.166311457E9</v>
      </c>
      <c r="G126" s="35">
        <v>42980.0</v>
      </c>
      <c r="H126" s="20" t="s">
        <v>269</v>
      </c>
      <c r="I126" s="20"/>
      <c r="J126" s="36">
        <v>42982.0</v>
      </c>
      <c r="K126" s="36">
        <v>43084.0</v>
      </c>
      <c r="L126" s="22" t="s">
        <v>270</v>
      </c>
      <c r="M126" s="46" t="s">
        <v>247</v>
      </c>
    </row>
    <row r="127" ht="22.5" customHeight="1">
      <c r="A127" s="20">
        <v>2017.0</v>
      </c>
      <c r="B127" s="24" t="s">
        <v>21</v>
      </c>
      <c r="C127" s="22" t="s">
        <v>271</v>
      </c>
      <c r="D127" s="20"/>
      <c r="E127" s="61" t="str">
        <f>HYPERLINK("mailto:marianapaquin0831@gmail.com","marianapaquin0831@gmail.com")</f>
        <v>marianapaquin0831@gmail.com</v>
      </c>
      <c r="F127" s="22">
        <v>4.242723129E9</v>
      </c>
      <c r="G127" s="35">
        <v>42980.0</v>
      </c>
      <c r="H127" s="20" t="s">
        <v>269</v>
      </c>
      <c r="I127" s="20"/>
      <c r="J127" s="36">
        <v>42987.0</v>
      </c>
      <c r="K127" s="36">
        <v>43029.0</v>
      </c>
      <c r="L127" s="22" t="s">
        <v>272</v>
      </c>
      <c r="M127" s="46" t="s">
        <v>273</v>
      </c>
    </row>
    <row r="128" ht="22.5" customHeight="1">
      <c r="A128" s="20">
        <v>2017.0</v>
      </c>
      <c r="B128" s="24" t="s">
        <v>21</v>
      </c>
      <c r="C128" s="22" t="s">
        <v>274</v>
      </c>
      <c r="D128" s="24">
        <v>2.9686957E7</v>
      </c>
      <c r="E128" s="24" t="s">
        <v>275</v>
      </c>
      <c r="F128" s="24">
        <v>4.120152979E9</v>
      </c>
      <c r="G128" s="110">
        <v>43027.0</v>
      </c>
      <c r="H128" s="20" t="s">
        <v>276</v>
      </c>
      <c r="I128" s="20"/>
      <c r="J128" s="111">
        <v>43045.0</v>
      </c>
      <c r="K128" s="111">
        <v>43073.0</v>
      </c>
      <c r="L128" s="24" t="s">
        <v>277</v>
      </c>
      <c r="M128" s="46" t="s">
        <v>247</v>
      </c>
    </row>
    <row r="129" ht="22.5" customHeight="1">
      <c r="A129" s="20">
        <v>2017.0</v>
      </c>
      <c r="B129" s="20" t="s">
        <v>21</v>
      </c>
      <c r="C129" s="71" t="s">
        <v>278</v>
      </c>
      <c r="D129" s="20">
        <v>2.6901001E7</v>
      </c>
      <c r="E129" s="112" t="str">
        <f>HYPERLINK("mailto:Jaleearias@gmail.com","Jaleearias@gmail.com")</f>
        <v>Jaleearias@gmail.com</v>
      </c>
      <c r="F129" s="20">
        <v>4.24169031E9</v>
      </c>
      <c r="G129" s="90">
        <v>42980.0</v>
      </c>
      <c r="H129" s="20" t="s">
        <v>279</v>
      </c>
      <c r="I129" s="20"/>
      <c r="J129" s="90">
        <v>42982.0</v>
      </c>
      <c r="K129" s="90">
        <v>42993.0</v>
      </c>
      <c r="L129" s="20"/>
      <c r="M129" s="46" t="s">
        <v>247</v>
      </c>
    </row>
    <row r="130" ht="22.5" customHeight="1">
      <c r="A130" s="20">
        <v>2017.0</v>
      </c>
      <c r="B130" s="24" t="s">
        <v>21</v>
      </c>
      <c r="C130" s="22" t="s">
        <v>280</v>
      </c>
      <c r="D130" s="59">
        <v>2.7814823E7</v>
      </c>
      <c r="E130" s="61" t="str">
        <f>HYPERLINK("mailto:kenethramos331@hotmail.com","kenethramos331@hotmail.com")</f>
        <v>kenethramos331@hotmail.com</v>
      </c>
      <c r="F130" s="89" t="s">
        <v>281</v>
      </c>
      <c r="G130" s="20"/>
      <c r="H130" s="20" t="s">
        <v>282</v>
      </c>
      <c r="I130" s="20"/>
      <c r="J130" s="36">
        <v>42769.0</v>
      </c>
      <c r="K130" s="36">
        <v>42874.0</v>
      </c>
      <c r="L130" s="20"/>
      <c r="M130" s="46" t="s">
        <v>247</v>
      </c>
    </row>
    <row r="131" ht="22.5" customHeight="1">
      <c r="A131" s="20">
        <v>2017.0</v>
      </c>
      <c r="B131" s="24" t="s">
        <v>21</v>
      </c>
      <c r="C131" s="22" t="s">
        <v>283</v>
      </c>
      <c r="D131" s="41">
        <v>2.7752966E7</v>
      </c>
      <c r="E131" s="33" t="str">
        <f>HYPERLINK("mailto:andreadshernandez@gmail.com","andreadshernandez@gmail.com")</f>
        <v>andreadshernandez@gmail.com</v>
      </c>
      <c r="F131" s="24" t="s">
        <v>284</v>
      </c>
      <c r="G131" s="20"/>
      <c r="H131" s="20" t="s">
        <v>162</v>
      </c>
      <c r="I131" s="20"/>
      <c r="J131" s="35">
        <v>42801.0</v>
      </c>
      <c r="K131" s="36">
        <v>42899.0</v>
      </c>
      <c r="L131" s="22"/>
      <c r="M131" s="46" t="s">
        <v>247</v>
      </c>
    </row>
    <row r="132" ht="22.5" customHeight="1">
      <c r="A132" s="20">
        <v>2017.0</v>
      </c>
      <c r="B132" s="24" t="s">
        <v>21</v>
      </c>
      <c r="C132" s="22" t="s">
        <v>285</v>
      </c>
      <c r="D132" s="41">
        <v>2.8028266E7</v>
      </c>
      <c r="E132" s="33" t="str">
        <f>HYPERLINK("mailto:christopherquijada13@gmail.com","christopherquijada13@gmail.com")</f>
        <v>christopherquijada13@gmail.com</v>
      </c>
      <c r="F132" s="94" t="s">
        <v>286</v>
      </c>
      <c r="G132" s="20"/>
      <c r="H132" s="20" t="s">
        <v>162</v>
      </c>
      <c r="I132" s="20"/>
      <c r="J132" s="35">
        <v>42803.0</v>
      </c>
      <c r="K132" s="36">
        <v>42914.0</v>
      </c>
      <c r="L132" s="22"/>
      <c r="M132" s="46" t="s">
        <v>247</v>
      </c>
    </row>
    <row r="133" ht="22.5" customHeight="1">
      <c r="A133" s="20">
        <v>2017.0</v>
      </c>
      <c r="B133" s="24" t="s">
        <v>21</v>
      </c>
      <c r="C133" s="22" t="s">
        <v>287</v>
      </c>
      <c r="D133" s="41">
        <v>2.775295E7</v>
      </c>
      <c r="E133" s="33" t="str">
        <f>HYPERLINK("mailto:chipijimenez13@gmail.com","chipijimenez13@gmail.com")</f>
        <v>chipijimenez13@gmail.com</v>
      </c>
      <c r="F133" s="24" t="s">
        <v>288</v>
      </c>
      <c r="G133" s="20"/>
      <c r="H133" s="20" t="s">
        <v>162</v>
      </c>
      <c r="I133" s="20"/>
      <c r="J133" s="35">
        <v>42775.0</v>
      </c>
      <c r="K133" s="35">
        <v>43034.0</v>
      </c>
      <c r="L133" s="24"/>
      <c r="M133" s="46" t="s">
        <v>247</v>
      </c>
    </row>
    <row r="134" ht="22.5" customHeight="1">
      <c r="A134" s="20">
        <v>2017.0</v>
      </c>
      <c r="B134" s="24" t="s">
        <v>21</v>
      </c>
      <c r="C134" s="22" t="s">
        <v>289</v>
      </c>
      <c r="D134" s="41">
        <v>2.705356E7</v>
      </c>
      <c r="E134" s="33" t="str">
        <f>HYPERLINK("mailto:sussibell@gmail.com","sussibell@gmail.com")</f>
        <v>sussibell@gmail.com</v>
      </c>
      <c r="F134" s="24">
        <v>4.143363002E9</v>
      </c>
      <c r="G134" s="20"/>
      <c r="H134" s="20" t="s">
        <v>162</v>
      </c>
      <c r="I134" s="20"/>
      <c r="J134" s="35">
        <v>42863.0</v>
      </c>
      <c r="K134" s="35">
        <v>42896.0</v>
      </c>
      <c r="L134" s="24"/>
      <c r="M134" s="46" t="s">
        <v>247</v>
      </c>
    </row>
    <row r="135" ht="22.5" customHeight="1">
      <c r="A135" s="20">
        <v>2017.0</v>
      </c>
      <c r="B135" s="24" t="s">
        <v>290</v>
      </c>
      <c r="C135" s="22" t="s">
        <v>291</v>
      </c>
      <c r="D135" s="41">
        <v>2.7784852E7</v>
      </c>
      <c r="E135" s="33" t="str">
        <f>HYPERLINK("mailto:santiagoterrerogarcia@gmail.com","santiagoterrerogarcia@gmail.com")</f>
        <v>santiagoterrerogarcia@gmail.com</v>
      </c>
      <c r="F135" s="94" t="s">
        <v>292</v>
      </c>
      <c r="G135" s="20"/>
      <c r="H135" s="20" t="s">
        <v>162</v>
      </c>
      <c r="I135" s="20"/>
      <c r="J135" s="35">
        <v>42825.0</v>
      </c>
      <c r="K135" s="36">
        <v>43028.0</v>
      </c>
      <c r="L135" s="24" t="s">
        <v>293</v>
      </c>
      <c r="M135" s="46" t="s">
        <v>247</v>
      </c>
    </row>
    <row r="136" ht="22.5" customHeight="1">
      <c r="A136" s="20">
        <v>2017.0</v>
      </c>
      <c r="B136" s="22" t="s">
        <v>21</v>
      </c>
      <c r="C136" s="22" t="s">
        <v>294</v>
      </c>
      <c r="D136" s="41">
        <v>2.7770873E7</v>
      </c>
      <c r="E136" s="33" t="str">
        <f>HYPERLINK("mailto:stefanobitettos22@gmail.com","stefanobitettos22@gmail.com")</f>
        <v>stefanobitettos22@gmail.com</v>
      </c>
      <c r="F136" s="94" t="s">
        <v>295</v>
      </c>
      <c r="G136" s="20"/>
      <c r="H136" s="20" t="s">
        <v>162</v>
      </c>
      <c r="I136" s="20"/>
      <c r="J136" s="35">
        <v>42824.0</v>
      </c>
      <c r="K136" s="36">
        <v>42888.0</v>
      </c>
      <c r="L136" s="24"/>
      <c r="M136" s="46" t="s">
        <v>247</v>
      </c>
    </row>
    <row r="137" ht="22.5" customHeight="1">
      <c r="A137" s="20">
        <v>2017.0</v>
      </c>
      <c r="B137" s="24" t="s">
        <v>21</v>
      </c>
      <c r="C137" s="22" t="s">
        <v>296</v>
      </c>
      <c r="D137" s="22">
        <v>2.7588247E7</v>
      </c>
      <c r="E137" s="61" t="str">
        <f>HYPERLINK("mailto:ainoaaramburumaras@gmail.com","ainoaaramburumaras@gmail.com")</f>
        <v>ainoaaramburumaras@gmail.com</v>
      </c>
      <c r="F137" s="22">
        <v>4.123051445E9</v>
      </c>
      <c r="G137" s="35">
        <v>42980.0</v>
      </c>
      <c r="H137" s="20" t="s">
        <v>183</v>
      </c>
      <c r="I137" s="20"/>
      <c r="J137" s="36">
        <v>42983.0</v>
      </c>
      <c r="K137" s="36">
        <v>43047.0</v>
      </c>
      <c r="L137" s="24"/>
      <c r="M137" s="46" t="s">
        <v>247</v>
      </c>
    </row>
    <row r="138" ht="22.5" customHeight="1">
      <c r="A138" s="20">
        <v>2017.0</v>
      </c>
      <c r="B138" s="24" t="s">
        <v>21</v>
      </c>
      <c r="C138" s="22" t="s">
        <v>297</v>
      </c>
      <c r="D138" s="24">
        <v>2.8461096E7</v>
      </c>
      <c r="E138" s="24" t="s">
        <v>298</v>
      </c>
      <c r="F138" s="24">
        <v>4.242867459E9</v>
      </c>
      <c r="G138" s="111">
        <v>43015.0</v>
      </c>
      <c r="H138" s="20" t="s">
        <v>183</v>
      </c>
      <c r="I138" s="20"/>
      <c r="J138" s="111">
        <v>43017.0</v>
      </c>
      <c r="K138" s="36">
        <v>43076.0</v>
      </c>
      <c r="L138" s="24" t="s">
        <v>299</v>
      </c>
      <c r="M138" s="46" t="s">
        <v>247</v>
      </c>
    </row>
    <row r="139" ht="22.5" customHeight="1">
      <c r="A139" s="20">
        <v>2017.0</v>
      </c>
      <c r="B139" s="24" t="s">
        <v>300</v>
      </c>
      <c r="C139" s="22" t="s">
        <v>301</v>
      </c>
      <c r="D139" s="24">
        <v>2.7426596E7</v>
      </c>
      <c r="E139" s="24" t="s">
        <v>302</v>
      </c>
      <c r="F139" s="24">
        <v>4.149108086E9</v>
      </c>
      <c r="G139" s="111">
        <v>43015.0</v>
      </c>
      <c r="H139" s="20" t="s">
        <v>183</v>
      </c>
      <c r="I139" s="20"/>
      <c r="J139" s="111">
        <v>43017.0</v>
      </c>
      <c r="K139" s="24"/>
      <c r="L139" s="24" t="s">
        <v>303</v>
      </c>
      <c r="M139" s="46" t="s">
        <v>247</v>
      </c>
    </row>
    <row r="140" ht="22.5" customHeight="1">
      <c r="A140" s="20">
        <v>2017.0</v>
      </c>
      <c r="B140" s="24" t="s">
        <v>21</v>
      </c>
      <c r="C140" s="22" t="s">
        <v>304</v>
      </c>
      <c r="D140" s="24">
        <v>2.6956146E7</v>
      </c>
      <c r="E140" s="24" t="s">
        <v>305</v>
      </c>
      <c r="F140" s="24">
        <v>4.241585033E9</v>
      </c>
      <c r="G140" s="111">
        <v>43015.0</v>
      </c>
      <c r="H140" s="20" t="s">
        <v>183</v>
      </c>
      <c r="I140" s="20"/>
      <c r="J140" s="111">
        <v>43017.0</v>
      </c>
      <c r="K140" s="36">
        <v>43076.0</v>
      </c>
      <c r="L140" s="24" t="s">
        <v>306</v>
      </c>
      <c r="M140" s="46" t="s">
        <v>247</v>
      </c>
    </row>
    <row r="141" ht="22.5" customHeight="1">
      <c r="A141" s="20">
        <v>2017.0</v>
      </c>
      <c r="B141" s="24" t="s">
        <v>21</v>
      </c>
      <c r="C141" s="22" t="s">
        <v>307</v>
      </c>
      <c r="D141" s="22">
        <v>2.7625162E7</v>
      </c>
      <c r="E141" s="61" t="str">
        <f>HYPERLINK("mailto:carlajsr.13@gmail.com","carlajsr.13@gmail.com")</f>
        <v>carlajsr.13@gmail.com</v>
      </c>
      <c r="F141" s="22">
        <v>4.141101964E9</v>
      </c>
      <c r="G141" s="35">
        <v>42980.0</v>
      </c>
      <c r="H141" s="20" t="s">
        <v>183</v>
      </c>
      <c r="I141" s="20"/>
      <c r="J141" s="36">
        <v>42983.0</v>
      </c>
      <c r="K141" s="36">
        <v>43076.0</v>
      </c>
      <c r="L141" s="24" t="s">
        <v>308</v>
      </c>
      <c r="M141" s="46" t="s">
        <v>247</v>
      </c>
    </row>
    <row r="142" ht="22.5" customHeight="1">
      <c r="A142" s="20">
        <v>2017.0</v>
      </c>
      <c r="B142" s="24" t="s">
        <v>21</v>
      </c>
      <c r="C142" s="22" t="s">
        <v>309</v>
      </c>
      <c r="D142" s="22">
        <v>2.7818878E7</v>
      </c>
      <c r="E142" s="61" t="str">
        <f>HYPERLINK("mailto:lucia.peceno@gmail.com","lucia.peceno@gmail.com")</f>
        <v>lucia.peceno@gmail.com</v>
      </c>
      <c r="F142" s="22">
        <v>4.242198133E9</v>
      </c>
      <c r="G142" s="35">
        <v>42980.0</v>
      </c>
      <c r="H142" s="20" t="s">
        <v>183</v>
      </c>
      <c r="I142" s="20"/>
      <c r="J142" s="36"/>
      <c r="K142" s="36"/>
      <c r="L142" s="24" t="s">
        <v>310</v>
      </c>
      <c r="M142" s="46" t="s">
        <v>247</v>
      </c>
    </row>
    <row r="143" ht="22.5" customHeight="1">
      <c r="A143" s="20">
        <v>2017.0</v>
      </c>
      <c r="B143" s="24" t="s">
        <v>311</v>
      </c>
      <c r="C143" s="22" t="s">
        <v>312</v>
      </c>
      <c r="D143" s="24">
        <v>2.7790969E7</v>
      </c>
      <c r="E143" s="61" t="str">
        <f>HYPERLINK("mailto:marucarrillo008@gmail.com","marucarrillo008@gmail.com")</f>
        <v>marucarrillo008@gmail.com</v>
      </c>
      <c r="F143" s="22">
        <v>4.142108183E9</v>
      </c>
      <c r="G143" s="35">
        <v>42980.0</v>
      </c>
      <c r="H143" s="20" t="s">
        <v>183</v>
      </c>
      <c r="I143" s="20"/>
      <c r="J143" s="36">
        <v>43018.0</v>
      </c>
      <c r="K143" s="36"/>
      <c r="L143" s="24" t="s">
        <v>313</v>
      </c>
      <c r="M143" s="46" t="s">
        <v>247</v>
      </c>
    </row>
    <row r="144" ht="22.5" customHeight="1">
      <c r="A144" s="20">
        <v>2017.0</v>
      </c>
      <c r="B144" s="24" t="s">
        <v>311</v>
      </c>
      <c r="C144" s="22" t="s">
        <v>314</v>
      </c>
      <c r="D144" s="24">
        <v>2.7985976E7</v>
      </c>
      <c r="E144" s="24" t="s">
        <v>315</v>
      </c>
      <c r="F144" s="24">
        <v>4.149134452E9</v>
      </c>
      <c r="G144" s="111">
        <v>43015.0</v>
      </c>
      <c r="H144" s="20" t="s">
        <v>183</v>
      </c>
      <c r="I144" s="20"/>
      <c r="J144" s="111">
        <v>43017.0</v>
      </c>
      <c r="K144" s="24"/>
      <c r="L144" s="24" t="s">
        <v>299</v>
      </c>
      <c r="M144" s="46" t="s">
        <v>247</v>
      </c>
    </row>
    <row r="145" ht="22.5" customHeight="1">
      <c r="A145" s="20">
        <v>2017.0</v>
      </c>
      <c r="B145" s="24" t="s">
        <v>311</v>
      </c>
      <c r="C145" s="22" t="s">
        <v>316</v>
      </c>
      <c r="D145" s="24">
        <v>2.7624126E7</v>
      </c>
      <c r="E145" s="24" t="s">
        <v>317</v>
      </c>
      <c r="F145" s="94" t="s">
        <v>318</v>
      </c>
      <c r="G145" s="111">
        <v>43015.0</v>
      </c>
      <c r="H145" s="20" t="s">
        <v>183</v>
      </c>
      <c r="I145" s="20"/>
      <c r="J145" s="111">
        <v>43017.0</v>
      </c>
      <c r="K145" s="24"/>
      <c r="L145" s="24" t="s">
        <v>299</v>
      </c>
      <c r="M145" s="46" t="s">
        <v>247</v>
      </c>
    </row>
    <row r="146" ht="22.5" customHeight="1">
      <c r="A146" s="20">
        <v>2017.0</v>
      </c>
      <c r="B146" s="24" t="s">
        <v>21</v>
      </c>
      <c r="C146" s="22" t="s">
        <v>319</v>
      </c>
      <c r="D146" s="24">
        <v>2.7625328E7</v>
      </c>
      <c r="E146" s="24" t="s">
        <v>320</v>
      </c>
      <c r="F146" s="24">
        <v>4.24181525E9</v>
      </c>
      <c r="G146" s="111">
        <v>43015.0</v>
      </c>
      <c r="H146" s="20" t="s">
        <v>183</v>
      </c>
      <c r="I146" s="20"/>
      <c r="J146" s="111">
        <v>43017.0</v>
      </c>
      <c r="K146" s="24"/>
      <c r="L146" s="24" t="s">
        <v>306</v>
      </c>
      <c r="M146" s="46" t="s">
        <v>247</v>
      </c>
    </row>
    <row r="147" ht="22.5" customHeight="1">
      <c r="A147" s="20">
        <v>2017.0</v>
      </c>
      <c r="B147" s="24" t="s">
        <v>21</v>
      </c>
      <c r="C147" s="22" t="s">
        <v>321</v>
      </c>
      <c r="D147" s="22">
        <v>2.7770784E7</v>
      </c>
      <c r="E147" s="61" t="str">
        <f>HYPERLINK("mailto:mmsardib@gmail.com","mmsardib@gmail.com")</f>
        <v>mmsardib@gmail.com</v>
      </c>
      <c r="F147" s="22">
        <v>4.241635565E9</v>
      </c>
      <c r="G147" s="35">
        <v>42980.0</v>
      </c>
      <c r="H147" s="20" t="s">
        <v>183</v>
      </c>
      <c r="I147" s="20"/>
      <c r="J147" s="36">
        <v>42982.0</v>
      </c>
      <c r="K147" s="36">
        <v>42993.0</v>
      </c>
      <c r="L147" s="24"/>
      <c r="M147" s="46" t="s">
        <v>247</v>
      </c>
    </row>
    <row r="148" ht="22.5" customHeight="1">
      <c r="A148" s="20">
        <v>2017.0</v>
      </c>
      <c r="B148" s="24" t="s">
        <v>21</v>
      </c>
      <c r="C148" s="22" t="s">
        <v>322</v>
      </c>
      <c r="D148" s="22">
        <v>2.7246251E7</v>
      </c>
      <c r="E148" s="61" t="str">
        <f>HYPERLINK("mailto:monipetrilli@hotmail.com","monipetrilli@hotmail.com")</f>
        <v>monipetrilli@hotmail.com</v>
      </c>
      <c r="F148" s="22">
        <v>4.143271274E9</v>
      </c>
      <c r="G148" s="35">
        <v>42980.0</v>
      </c>
      <c r="H148" s="20" t="s">
        <v>183</v>
      </c>
      <c r="I148" s="20"/>
      <c r="J148" s="36"/>
      <c r="K148" s="36"/>
      <c r="L148" s="24" t="s">
        <v>310</v>
      </c>
      <c r="M148" s="46" t="s">
        <v>247</v>
      </c>
    </row>
    <row r="149" ht="22.5" customHeight="1">
      <c r="A149" s="20">
        <v>2017.0</v>
      </c>
      <c r="B149" s="24" t="s">
        <v>21</v>
      </c>
      <c r="C149" s="22" t="s">
        <v>323</v>
      </c>
      <c r="D149" s="41">
        <v>2.7793389E7</v>
      </c>
      <c r="E149" s="33" t="str">
        <f>HYPERLINK("mailto:micielo.g@hotmail.com","micielo.g@hotmail.com")</f>
        <v>micielo.g@hotmail.com</v>
      </c>
      <c r="F149" s="24">
        <v>4.123059808E9</v>
      </c>
      <c r="G149" s="20"/>
      <c r="H149" s="20" t="s">
        <v>215</v>
      </c>
      <c r="I149" s="20"/>
      <c r="J149" s="35">
        <v>42902.0</v>
      </c>
      <c r="K149" s="35">
        <v>42972.0</v>
      </c>
      <c r="L149" s="94" t="s">
        <v>324</v>
      </c>
      <c r="M149" s="46" t="s">
        <v>247</v>
      </c>
    </row>
    <row r="150" ht="22.5" customHeight="1">
      <c r="A150" s="20">
        <v>2017.0</v>
      </c>
      <c r="B150" s="24" t="s">
        <v>21</v>
      </c>
      <c r="C150" s="22" t="s">
        <v>325</v>
      </c>
      <c r="D150" s="24">
        <v>2.968638E7</v>
      </c>
      <c r="E150" s="24" t="s">
        <v>326</v>
      </c>
      <c r="F150" s="24">
        <v>4.1270688344E10</v>
      </c>
      <c r="G150" s="111">
        <v>43043.0</v>
      </c>
      <c r="H150" s="20" t="s">
        <v>215</v>
      </c>
      <c r="I150" s="20"/>
      <c r="J150" s="35">
        <v>43052.0</v>
      </c>
      <c r="K150" s="35">
        <v>43446.0</v>
      </c>
      <c r="L150" s="24"/>
      <c r="M150" s="46" t="s">
        <v>247</v>
      </c>
    </row>
    <row r="151" ht="22.5" customHeight="1">
      <c r="A151" s="20">
        <v>2017.0</v>
      </c>
      <c r="B151" s="24" t="s">
        <v>21</v>
      </c>
      <c r="C151" s="22" t="s">
        <v>327</v>
      </c>
      <c r="D151" s="24">
        <v>2.9615067E7</v>
      </c>
      <c r="E151" s="24" t="s">
        <v>328</v>
      </c>
      <c r="F151" s="24">
        <v>4.160327453E9</v>
      </c>
      <c r="G151" s="111">
        <v>43043.0</v>
      </c>
      <c r="H151" s="20" t="s">
        <v>215</v>
      </c>
      <c r="I151" s="20"/>
      <c r="J151" s="35">
        <v>43052.0</v>
      </c>
      <c r="K151" s="35">
        <v>43446.0</v>
      </c>
      <c r="L151" s="24"/>
      <c r="M151" s="46" t="s">
        <v>247</v>
      </c>
    </row>
    <row r="152" ht="22.5" customHeight="1">
      <c r="A152" s="20">
        <v>2017.0</v>
      </c>
      <c r="B152" s="24" t="s">
        <v>21</v>
      </c>
      <c r="C152" s="22" t="s">
        <v>329</v>
      </c>
      <c r="D152" s="59">
        <v>2.7138486E7</v>
      </c>
      <c r="E152" s="61" t="str">
        <f>HYPERLINK("mailto:natashabreu13@hotmail.com","natashabreu13@hotmail.com")</f>
        <v>natashabreu13@hotmail.com</v>
      </c>
      <c r="F152" s="22" t="s">
        <v>330</v>
      </c>
      <c r="G152" s="24"/>
      <c r="H152" s="20" t="s">
        <v>331</v>
      </c>
      <c r="I152" s="20"/>
      <c r="J152" s="36">
        <v>42824.0</v>
      </c>
      <c r="K152" s="36">
        <v>42905.0</v>
      </c>
      <c r="L152" s="20"/>
      <c r="M152" s="46" t="s">
        <v>247</v>
      </c>
    </row>
    <row r="153" ht="22.5" customHeight="1">
      <c r="A153" s="20">
        <v>2017.0</v>
      </c>
      <c r="B153" s="24" t="s">
        <v>21</v>
      </c>
      <c r="C153" s="22" t="s">
        <v>332</v>
      </c>
      <c r="D153" s="20"/>
      <c r="E153" s="20" t="s">
        <v>333</v>
      </c>
      <c r="F153" s="20">
        <v>4.24169409E9</v>
      </c>
      <c r="G153" s="108">
        <v>43078.0</v>
      </c>
      <c r="H153" s="20" t="s">
        <v>334</v>
      </c>
      <c r="I153" s="20"/>
      <c r="J153" s="109">
        <v>43087.0</v>
      </c>
      <c r="K153" s="109">
        <v>43091.0</v>
      </c>
      <c r="L153" s="20"/>
      <c r="M153" s="46" t="s">
        <v>247</v>
      </c>
    </row>
    <row r="154" ht="22.5" customHeight="1">
      <c r="A154" s="20">
        <v>2017.0</v>
      </c>
      <c r="B154" s="24" t="s">
        <v>21</v>
      </c>
      <c r="C154" s="22" t="s">
        <v>335</v>
      </c>
      <c r="D154" s="20"/>
      <c r="E154" s="20" t="s">
        <v>336</v>
      </c>
      <c r="F154" s="20">
        <v>4.248303132E9</v>
      </c>
      <c r="G154" s="108">
        <v>43078.0</v>
      </c>
      <c r="H154" s="20" t="s">
        <v>334</v>
      </c>
      <c r="I154" s="20"/>
      <c r="J154" s="109">
        <v>43087.0</v>
      </c>
      <c r="K154" s="109">
        <v>43091.0</v>
      </c>
      <c r="L154" s="20"/>
      <c r="M154" s="46" t="s">
        <v>247</v>
      </c>
    </row>
    <row r="155" ht="22.5" customHeight="1">
      <c r="A155" s="20">
        <v>2017.0</v>
      </c>
      <c r="B155" s="24" t="s">
        <v>21</v>
      </c>
      <c r="C155" s="22" t="s">
        <v>337</v>
      </c>
      <c r="D155" s="20"/>
      <c r="E155" s="112" t="s">
        <v>338</v>
      </c>
      <c r="F155" s="20">
        <v>4.241303106E9</v>
      </c>
      <c r="G155" s="108">
        <v>43078.0</v>
      </c>
      <c r="H155" s="20" t="s">
        <v>334</v>
      </c>
      <c r="I155" s="20"/>
      <c r="J155" s="109">
        <v>43087.0</v>
      </c>
      <c r="K155" s="109">
        <v>43091.0</v>
      </c>
      <c r="L155" s="20"/>
      <c r="M155" s="46" t="s">
        <v>247</v>
      </c>
    </row>
    <row r="156" ht="22.5" customHeight="1">
      <c r="A156" s="20">
        <v>2017.0</v>
      </c>
      <c r="B156" s="24" t="s">
        <v>21</v>
      </c>
      <c r="C156" s="22" t="s">
        <v>339</v>
      </c>
      <c r="D156" s="20"/>
      <c r="E156" s="33" t="str">
        <f>HYPERLINK("mailto:alediazmarcano@hotmail.com","alediazmarcano@hotmail.com")</f>
        <v>alediazmarcano@hotmail.com</v>
      </c>
      <c r="F156" s="94" t="s">
        <v>340</v>
      </c>
      <c r="G156" s="20"/>
      <c r="H156" s="20" t="s">
        <v>341</v>
      </c>
      <c r="I156" s="20"/>
      <c r="J156" s="36">
        <v>42822.0</v>
      </c>
      <c r="K156" s="20"/>
      <c r="L156" s="20" t="s">
        <v>342</v>
      </c>
      <c r="M156" s="46" t="s">
        <v>247</v>
      </c>
    </row>
    <row r="157" ht="22.5" customHeight="1">
      <c r="A157" s="113">
        <v>2018.0</v>
      </c>
      <c r="B157" s="113" t="s">
        <v>21</v>
      </c>
      <c r="C157" s="114" t="s">
        <v>343</v>
      </c>
      <c r="D157" s="113">
        <v>2.8410423E7</v>
      </c>
      <c r="E157" s="113" t="s">
        <v>344</v>
      </c>
      <c r="F157" s="113">
        <v>4.162083747E9</v>
      </c>
      <c r="G157" s="113"/>
      <c r="H157" s="113" t="s">
        <v>345</v>
      </c>
      <c r="I157" s="113"/>
      <c r="J157" s="115">
        <v>43115.0</v>
      </c>
      <c r="K157" s="115">
        <v>43214.0</v>
      </c>
      <c r="L157" s="113"/>
      <c r="M157" s="116" t="s">
        <v>346</v>
      </c>
      <c r="N157" s="117"/>
      <c r="O157" s="117"/>
      <c r="P157" s="117"/>
      <c r="Q157" s="117"/>
      <c r="R157" s="117"/>
      <c r="S157" s="117"/>
      <c r="T157" s="117"/>
      <c r="U157" s="117"/>
      <c r="V157" s="117"/>
      <c r="W157" s="117"/>
      <c r="X157" s="117"/>
      <c r="Y157" s="117"/>
      <c r="Z157" s="117"/>
    </row>
    <row r="158" ht="22.5" customHeight="1">
      <c r="A158" s="113">
        <v>2018.0</v>
      </c>
      <c r="B158" s="113" t="s">
        <v>21</v>
      </c>
      <c r="C158" s="114" t="s">
        <v>347</v>
      </c>
      <c r="D158" s="113">
        <v>2.7488627E7</v>
      </c>
      <c r="E158" s="113" t="s">
        <v>348</v>
      </c>
      <c r="F158" s="113">
        <v>4.141274506E9</v>
      </c>
      <c r="G158" s="113"/>
      <c r="H158" s="113" t="s">
        <v>345</v>
      </c>
      <c r="I158" s="113"/>
      <c r="J158" s="115">
        <v>43116.0</v>
      </c>
      <c r="K158" s="115">
        <v>43214.0</v>
      </c>
      <c r="L158" s="113"/>
      <c r="M158" s="116" t="s">
        <v>346</v>
      </c>
      <c r="N158" s="117"/>
      <c r="O158" s="117"/>
      <c r="P158" s="117"/>
      <c r="Q158" s="117"/>
      <c r="R158" s="117"/>
      <c r="S158" s="117"/>
      <c r="T158" s="117"/>
      <c r="U158" s="117"/>
      <c r="V158" s="117"/>
      <c r="W158" s="117"/>
      <c r="X158" s="117"/>
      <c r="Y158" s="117"/>
      <c r="Z158" s="117"/>
    </row>
    <row r="159" ht="22.5" customHeight="1">
      <c r="A159" s="20">
        <v>2018.0</v>
      </c>
      <c r="B159" s="24" t="s">
        <v>21</v>
      </c>
      <c r="C159" s="22" t="s">
        <v>349</v>
      </c>
      <c r="D159" s="24">
        <v>2.8058817E7</v>
      </c>
      <c r="E159" s="33" t="s">
        <v>350</v>
      </c>
      <c r="F159" s="24">
        <v>4.168071996E9</v>
      </c>
      <c r="G159" s="111">
        <v>43016.0</v>
      </c>
      <c r="H159" s="20" t="s">
        <v>351</v>
      </c>
      <c r="I159" s="20"/>
      <c r="J159" s="111">
        <v>43040.0</v>
      </c>
      <c r="K159" s="35">
        <v>43311.0</v>
      </c>
      <c r="L159" s="20"/>
      <c r="M159" s="38" t="s">
        <v>264</v>
      </c>
    </row>
    <row r="160" ht="22.5" customHeight="1">
      <c r="A160" s="20">
        <v>2018.0</v>
      </c>
      <c r="B160" s="24" t="s">
        <v>21</v>
      </c>
      <c r="C160" s="22" t="s">
        <v>352</v>
      </c>
      <c r="D160" s="24">
        <v>2.8155181E7</v>
      </c>
      <c r="E160" s="24" t="s">
        <v>353</v>
      </c>
      <c r="F160" s="24">
        <v>4.241352004E9</v>
      </c>
      <c r="G160" s="90">
        <v>43148.0</v>
      </c>
      <c r="H160" s="111" t="s">
        <v>354</v>
      </c>
      <c r="I160" s="20"/>
      <c r="J160" s="111">
        <v>43168.0</v>
      </c>
      <c r="K160" s="111">
        <v>43364.0</v>
      </c>
      <c r="L160" s="24" t="s">
        <v>355</v>
      </c>
      <c r="M160" s="38" t="s">
        <v>264</v>
      </c>
    </row>
    <row r="161" ht="22.5" customHeight="1">
      <c r="A161" s="20">
        <v>2018.0</v>
      </c>
      <c r="B161" s="20" t="s">
        <v>21</v>
      </c>
      <c r="C161" s="22" t="s">
        <v>356</v>
      </c>
      <c r="D161" s="20">
        <v>2.7038669E7</v>
      </c>
      <c r="E161" s="20" t="s">
        <v>357</v>
      </c>
      <c r="F161" s="20">
        <v>4.242749942E9</v>
      </c>
      <c r="G161" s="109">
        <v>43027.0</v>
      </c>
      <c r="H161" s="20" t="s">
        <v>358</v>
      </c>
      <c r="I161" s="20"/>
      <c r="J161" s="90">
        <v>43080.0</v>
      </c>
      <c r="K161" s="90">
        <v>43238.0</v>
      </c>
      <c r="L161" s="118" t="s">
        <v>359</v>
      </c>
      <c r="M161" s="38" t="s">
        <v>264</v>
      </c>
    </row>
    <row r="162" ht="22.5" customHeight="1">
      <c r="A162" s="20">
        <v>2018.0</v>
      </c>
      <c r="B162" s="20" t="s">
        <v>300</v>
      </c>
      <c r="C162" s="71" t="s">
        <v>360</v>
      </c>
      <c r="D162" s="20">
        <v>2.8143328E7</v>
      </c>
      <c r="E162" s="20" t="s">
        <v>361</v>
      </c>
      <c r="F162" s="20">
        <v>4.241749097E9</v>
      </c>
      <c r="G162" s="109">
        <v>43027.0</v>
      </c>
      <c r="H162" s="20" t="s">
        <v>358</v>
      </c>
      <c r="I162" s="20"/>
      <c r="J162" s="90">
        <v>43080.0</v>
      </c>
      <c r="K162" s="90">
        <v>43140.0</v>
      </c>
      <c r="L162" s="118" t="s">
        <v>362</v>
      </c>
      <c r="M162" s="38" t="s">
        <v>264</v>
      </c>
    </row>
    <row r="163" ht="22.5" customHeight="1">
      <c r="A163" s="20">
        <v>2018.0</v>
      </c>
      <c r="B163" s="24" t="s">
        <v>21</v>
      </c>
      <c r="C163" s="22" t="s">
        <v>363</v>
      </c>
      <c r="D163" s="41">
        <v>2.7814865E7</v>
      </c>
      <c r="E163" s="24" t="s">
        <v>364</v>
      </c>
      <c r="F163" s="24">
        <v>4.122113881E9</v>
      </c>
      <c r="G163" s="111">
        <v>43012.0</v>
      </c>
      <c r="H163" s="20" t="s">
        <v>365</v>
      </c>
      <c r="I163" s="20"/>
      <c r="J163" s="111">
        <v>43012.0</v>
      </c>
      <c r="K163" s="35">
        <v>43423.0</v>
      </c>
      <c r="L163" s="24" t="s">
        <v>366</v>
      </c>
      <c r="M163" s="38" t="s">
        <v>264</v>
      </c>
    </row>
    <row r="164" ht="22.5" customHeight="1">
      <c r="A164" s="20">
        <v>2018.0</v>
      </c>
      <c r="B164" s="24" t="s">
        <v>21</v>
      </c>
      <c r="C164" s="22" t="s">
        <v>367</v>
      </c>
      <c r="D164" s="41">
        <v>2.8080791E7</v>
      </c>
      <c r="E164" s="24" t="s">
        <v>368</v>
      </c>
      <c r="F164" s="24">
        <v>4.122202852E9</v>
      </c>
      <c r="G164" s="111">
        <v>43012.0</v>
      </c>
      <c r="H164" s="20" t="s">
        <v>365</v>
      </c>
      <c r="I164" s="20"/>
      <c r="J164" s="111">
        <v>43012.0</v>
      </c>
      <c r="K164" s="35">
        <v>43423.0</v>
      </c>
      <c r="L164" s="24" t="s">
        <v>369</v>
      </c>
      <c r="M164" s="38" t="s">
        <v>264</v>
      </c>
    </row>
    <row r="165" ht="22.5" customHeight="1">
      <c r="A165" s="20">
        <v>2018.0</v>
      </c>
      <c r="B165" s="20" t="s">
        <v>21</v>
      </c>
      <c r="C165" s="22" t="s">
        <v>370</v>
      </c>
      <c r="D165" s="20">
        <v>2.8302526E7</v>
      </c>
      <c r="E165" s="20" t="s">
        <v>371</v>
      </c>
      <c r="F165" s="20">
        <v>4.241274913E9</v>
      </c>
      <c r="G165" s="109">
        <v>43027.0</v>
      </c>
      <c r="H165" s="20" t="s">
        <v>246</v>
      </c>
      <c r="I165" s="20"/>
      <c r="J165" s="90">
        <v>43074.0</v>
      </c>
      <c r="K165" s="108">
        <v>43151.0</v>
      </c>
      <c r="L165" s="20"/>
      <c r="M165" s="38" t="s">
        <v>264</v>
      </c>
    </row>
    <row r="166" ht="22.5" customHeight="1">
      <c r="A166" s="20">
        <v>2018.0</v>
      </c>
      <c r="B166" s="20" t="s">
        <v>21</v>
      </c>
      <c r="C166" s="22" t="s">
        <v>372</v>
      </c>
      <c r="D166" s="20">
        <v>2.8302513E7</v>
      </c>
      <c r="E166" s="20" t="s">
        <v>373</v>
      </c>
      <c r="F166" s="20">
        <v>4.143694894E9</v>
      </c>
      <c r="G166" s="109">
        <v>43027.0</v>
      </c>
      <c r="H166" s="20" t="s">
        <v>246</v>
      </c>
      <c r="I166" s="20"/>
      <c r="J166" s="90">
        <v>43074.0</v>
      </c>
      <c r="K166" s="108">
        <v>43151.0</v>
      </c>
      <c r="L166" s="20"/>
      <c r="M166" s="38" t="s">
        <v>264</v>
      </c>
    </row>
    <row r="167" ht="22.5" customHeight="1">
      <c r="A167" s="20">
        <v>2018.0</v>
      </c>
      <c r="B167" s="20" t="s">
        <v>21</v>
      </c>
      <c r="C167" s="22" t="s">
        <v>374</v>
      </c>
      <c r="D167" s="119">
        <v>2.8331911E7</v>
      </c>
      <c r="E167" s="20" t="s">
        <v>375</v>
      </c>
      <c r="F167" s="20">
        <v>4.241837364E9</v>
      </c>
      <c r="G167" s="108">
        <v>43311.0</v>
      </c>
      <c r="H167" s="20" t="s">
        <v>262</v>
      </c>
      <c r="I167" s="20"/>
      <c r="J167" s="90">
        <v>43312.0</v>
      </c>
      <c r="K167" s="90">
        <v>43333.0</v>
      </c>
      <c r="L167" s="20" t="s">
        <v>376</v>
      </c>
      <c r="M167" s="38" t="s">
        <v>264</v>
      </c>
    </row>
    <row r="168" ht="22.5" customHeight="1">
      <c r="A168" s="20">
        <v>2018.0</v>
      </c>
      <c r="B168" s="20" t="s">
        <v>21</v>
      </c>
      <c r="C168" s="22" t="s">
        <v>377</v>
      </c>
      <c r="D168" s="119">
        <v>2.9731048E7</v>
      </c>
      <c r="E168" s="112" t="s">
        <v>378</v>
      </c>
      <c r="F168" s="20">
        <v>4.169389112E9</v>
      </c>
      <c r="G168" s="108">
        <v>43311.0</v>
      </c>
      <c r="H168" s="20" t="s">
        <v>262</v>
      </c>
      <c r="I168" s="20"/>
      <c r="J168" s="90">
        <v>43313.0</v>
      </c>
      <c r="K168" s="90">
        <v>43334.0</v>
      </c>
      <c r="L168" s="20" t="s">
        <v>379</v>
      </c>
      <c r="M168" s="38" t="s">
        <v>264</v>
      </c>
    </row>
    <row r="169" ht="22.5" customHeight="1">
      <c r="A169" s="20">
        <v>2018.0</v>
      </c>
      <c r="B169" s="20" t="s">
        <v>21</v>
      </c>
      <c r="C169" s="22" t="s">
        <v>380</v>
      </c>
      <c r="D169" s="119">
        <v>2.8101642E7</v>
      </c>
      <c r="E169" s="20" t="s">
        <v>381</v>
      </c>
      <c r="F169" s="20">
        <v>4.169322851E9</v>
      </c>
      <c r="G169" s="108">
        <v>43311.0</v>
      </c>
      <c r="H169" s="20" t="s">
        <v>262</v>
      </c>
      <c r="I169" s="20"/>
      <c r="J169" s="90">
        <v>43318.0</v>
      </c>
      <c r="K169" s="90">
        <v>43361.0</v>
      </c>
      <c r="L169" s="20"/>
      <c r="M169" s="38" t="s">
        <v>264</v>
      </c>
    </row>
    <row r="170" ht="22.5" customHeight="1">
      <c r="A170" s="20">
        <v>2018.0</v>
      </c>
      <c r="B170" s="20" t="s">
        <v>21</v>
      </c>
      <c r="C170" s="22" t="s">
        <v>382</v>
      </c>
      <c r="D170" s="119">
        <v>3.0124529E7</v>
      </c>
      <c r="E170" s="112" t="s">
        <v>383</v>
      </c>
      <c r="F170" s="20">
        <v>4.165393999E9</v>
      </c>
      <c r="G170" s="108">
        <v>43311.0</v>
      </c>
      <c r="H170" s="20" t="s">
        <v>262</v>
      </c>
      <c r="I170" s="20"/>
      <c r="J170" s="90">
        <v>43318.0</v>
      </c>
      <c r="K170" s="90">
        <v>43361.0</v>
      </c>
      <c r="L170" s="20"/>
      <c r="M170" s="38" t="s">
        <v>264</v>
      </c>
    </row>
    <row r="171" ht="22.5" customHeight="1">
      <c r="A171" s="20">
        <v>2018.0</v>
      </c>
      <c r="B171" s="20" t="s">
        <v>21</v>
      </c>
      <c r="C171" s="22" t="s">
        <v>271</v>
      </c>
      <c r="D171" s="20"/>
      <c r="E171" s="112" t="s">
        <v>384</v>
      </c>
      <c r="F171" s="20">
        <v>2.42723129E8</v>
      </c>
      <c r="G171" s="120">
        <v>42980.0</v>
      </c>
      <c r="H171" s="20" t="s">
        <v>269</v>
      </c>
      <c r="I171" s="20"/>
      <c r="J171" s="90">
        <v>42987.0</v>
      </c>
      <c r="K171" s="90">
        <v>43155.0</v>
      </c>
      <c r="L171" s="20" t="s">
        <v>385</v>
      </c>
      <c r="M171" s="38" t="s">
        <v>264</v>
      </c>
    </row>
    <row r="172" ht="22.5" customHeight="1">
      <c r="A172" s="20">
        <v>2018.0</v>
      </c>
      <c r="B172" s="20" t="s">
        <v>21</v>
      </c>
      <c r="C172" s="22" t="s">
        <v>386</v>
      </c>
      <c r="D172" s="20">
        <v>2.7441611E7</v>
      </c>
      <c r="E172" s="71" t="s">
        <v>387</v>
      </c>
      <c r="F172" s="73" t="s">
        <v>388</v>
      </c>
      <c r="G172" s="90">
        <v>43078.0</v>
      </c>
      <c r="H172" s="20" t="s">
        <v>92</v>
      </c>
      <c r="I172" s="20"/>
      <c r="J172" s="74">
        <v>42799.0</v>
      </c>
      <c r="K172" s="74">
        <v>43167.0</v>
      </c>
      <c r="L172" s="20" t="s">
        <v>389</v>
      </c>
      <c r="M172" s="38" t="s">
        <v>264</v>
      </c>
    </row>
    <row r="173" ht="22.5" customHeight="1">
      <c r="A173" s="20">
        <v>2018.0</v>
      </c>
      <c r="B173" s="24" t="s">
        <v>21</v>
      </c>
      <c r="C173" s="22" t="s">
        <v>390</v>
      </c>
      <c r="D173" s="24">
        <v>2.9621445E7</v>
      </c>
      <c r="E173" s="24" t="s">
        <v>391</v>
      </c>
      <c r="F173" s="121">
        <v>4.129057005E9</v>
      </c>
      <c r="G173" s="111">
        <v>43125.0</v>
      </c>
      <c r="H173" s="20" t="s">
        <v>392</v>
      </c>
      <c r="I173" s="20"/>
      <c r="J173" s="111">
        <v>43161.0</v>
      </c>
      <c r="K173" s="111">
        <v>43308.0</v>
      </c>
      <c r="L173" s="20"/>
      <c r="M173" s="38" t="s">
        <v>264</v>
      </c>
    </row>
    <row r="174" ht="22.5" customHeight="1">
      <c r="A174" s="20">
        <v>2018.0</v>
      </c>
      <c r="B174" s="20" t="s">
        <v>21</v>
      </c>
      <c r="C174" s="22" t="s">
        <v>393</v>
      </c>
      <c r="D174" s="20">
        <v>2.7788662E7</v>
      </c>
      <c r="E174" s="20" t="s">
        <v>394</v>
      </c>
      <c r="F174" s="20">
        <v>4.162097062E9</v>
      </c>
      <c r="G174" s="108">
        <v>43311.0</v>
      </c>
      <c r="H174" s="20" t="s">
        <v>183</v>
      </c>
      <c r="I174" s="20"/>
      <c r="J174" s="90">
        <v>43318.0</v>
      </c>
      <c r="K174" s="90">
        <v>43334.0</v>
      </c>
      <c r="L174" s="20" t="s">
        <v>395</v>
      </c>
      <c r="M174" s="38" t="s">
        <v>264</v>
      </c>
    </row>
    <row r="175" ht="22.5" customHeight="1">
      <c r="A175" s="20">
        <v>2018.0</v>
      </c>
      <c r="B175" s="20" t="s">
        <v>21</v>
      </c>
      <c r="C175" s="22" t="s">
        <v>396</v>
      </c>
      <c r="D175" s="20">
        <v>2.8155638E7</v>
      </c>
      <c r="E175" s="20" t="s">
        <v>397</v>
      </c>
      <c r="F175" s="20">
        <v>4.169337737E9</v>
      </c>
      <c r="G175" s="108">
        <v>43311.0</v>
      </c>
      <c r="H175" s="20" t="s">
        <v>183</v>
      </c>
      <c r="I175" s="20"/>
      <c r="J175" s="90">
        <v>43313.0</v>
      </c>
      <c r="K175" s="90">
        <v>43334.0</v>
      </c>
      <c r="L175" s="20"/>
      <c r="M175" s="38" t="s">
        <v>264</v>
      </c>
    </row>
    <row r="176" ht="22.5" customHeight="1">
      <c r="A176" s="20">
        <v>2018.0</v>
      </c>
      <c r="B176" s="20" t="s">
        <v>21</v>
      </c>
      <c r="C176" s="22" t="s">
        <v>398</v>
      </c>
      <c r="D176" s="119">
        <v>2.7788662E7</v>
      </c>
      <c r="E176" s="112" t="s">
        <v>399</v>
      </c>
      <c r="F176" s="20">
        <v>4.125561979E9</v>
      </c>
      <c r="G176" s="108">
        <v>43326.0</v>
      </c>
      <c r="H176" s="20" t="s">
        <v>183</v>
      </c>
      <c r="I176" s="20"/>
      <c r="J176" s="90">
        <v>43332.0</v>
      </c>
      <c r="K176" s="90">
        <v>43365.0</v>
      </c>
      <c r="L176" s="20" t="s">
        <v>400</v>
      </c>
      <c r="M176" s="38" t="s">
        <v>264</v>
      </c>
    </row>
    <row r="177" ht="22.5" customHeight="1">
      <c r="A177" s="20">
        <v>2018.0</v>
      </c>
      <c r="B177" s="20" t="s">
        <v>21</v>
      </c>
      <c r="C177" s="22" t="s">
        <v>401</v>
      </c>
      <c r="D177" s="119">
        <v>2.8324532E7</v>
      </c>
      <c r="E177" s="20" t="s">
        <v>402</v>
      </c>
      <c r="F177" s="20">
        <v>4.122643415E9</v>
      </c>
      <c r="G177" s="108">
        <v>43311.0</v>
      </c>
      <c r="H177" s="20" t="s">
        <v>183</v>
      </c>
      <c r="I177" s="20"/>
      <c r="J177" s="90">
        <v>43360.0</v>
      </c>
      <c r="K177" s="90">
        <v>43364.0</v>
      </c>
      <c r="L177" s="20"/>
      <c r="M177" s="38" t="s">
        <v>264</v>
      </c>
    </row>
    <row r="178" ht="22.5" customHeight="1">
      <c r="A178" s="20">
        <v>2018.0</v>
      </c>
      <c r="B178" s="20" t="s">
        <v>21</v>
      </c>
      <c r="C178" s="22" t="s">
        <v>403</v>
      </c>
      <c r="D178" s="119">
        <v>2.847285E7</v>
      </c>
      <c r="E178" s="20" t="s">
        <v>404</v>
      </c>
      <c r="F178" s="20">
        <v>4.142611144E9</v>
      </c>
      <c r="G178" s="108">
        <v>43326.0</v>
      </c>
      <c r="H178" s="20" t="s">
        <v>183</v>
      </c>
      <c r="I178" s="20"/>
      <c r="J178" s="90">
        <v>43332.0</v>
      </c>
      <c r="K178" s="90">
        <v>43357.0</v>
      </c>
      <c r="L178" s="20"/>
      <c r="M178" s="38" t="s">
        <v>264</v>
      </c>
    </row>
    <row r="179" ht="22.5" customHeight="1">
      <c r="A179" s="20">
        <v>2018.0</v>
      </c>
      <c r="B179" s="20" t="s">
        <v>21</v>
      </c>
      <c r="C179" s="22" t="s">
        <v>405</v>
      </c>
      <c r="D179" s="119">
        <v>2.7670688E7</v>
      </c>
      <c r="E179" s="20" t="s">
        <v>406</v>
      </c>
      <c r="F179" s="20">
        <v>4.242304892E9</v>
      </c>
      <c r="G179" s="108">
        <v>43311.0</v>
      </c>
      <c r="H179" s="20" t="s">
        <v>183</v>
      </c>
      <c r="I179" s="20"/>
      <c r="J179" s="90">
        <v>43321.0</v>
      </c>
      <c r="K179" s="90">
        <v>43328.0</v>
      </c>
      <c r="L179" s="20"/>
      <c r="M179" s="38" t="s">
        <v>264</v>
      </c>
    </row>
    <row r="180" ht="22.5" customHeight="1">
      <c r="A180" s="20">
        <v>2018.0</v>
      </c>
      <c r="B180" s="20" t="s">
        <v>21</v>
      </c>
      <c r="C180" s="22" t="s">
        <v>407</v>
      </c>
      <c r="D180" s="119">
        <v>2.7670434E7</v>
      </c>
      <c r="E180" s="20" t="s">
        <v>408</v>
      </c>
      <c r="F180" s="20">
        <v>4.242130308E9</v>
      </c>
      <c r="G180" s="108">
        <v>43311.0</v>
      </c>
      <c r="H180" s="20" t="s">
        <v>183</v>
      </c>
      <c r="I180" s="20"/>
      <c r="J180" s="90">
        <v>43321.0</v>
      </c>
      <c r="K180" s="90">
        <v>43361.0</v>
      </c>
      <c r="L180" s="20"/>
      <c r="M180" s="38" t="s">
        <v>264</v>
      </c>
    </row>
    <row r="181" ht="22.5" customHeight="1">
      <c r="A181" s="20">
        <v>2018.0</v>
      </c>
      <c r="B181" s="20" t="s">
        <v>21</v>
      </c>
      <c r="C181" s="22" t="s">
        <v>409</v>
      </c>
      <c r="D181" s="119">
        <v>2.767078E7</v>
      </c>
      <c r="E181" s="20" t="s">
        <v>410</v>
      </c>
      <c r="F181" s="20" t="s">
        <v>411</v>
      </c>
      <c r="G181" s="108">
        <v>43326.0</v>
      </c>
      <c r="H181" s="20" t="s">
        <v>183</v>
      </c>
      <c r="I181" s="20"/>
      <c r="J181" s="90">
        <v>43332.0</v>
      </c>
      <c r="K181" s="90">
        <v>43336.0</v>
      </c>
      <c r="L181" s="20"/>
      <c r="M181" s="38" t="s">
        <v>264</v>
      </c>
    </row>
    <row r="182" ht="22.5" customHeight="1">
      <c r="A182" s="20">
        <v>2018.0</v>
      </c>
      <c r="B182" s="20" t="s">
        <v>21</v>
      </c>
      <c r="C182" s="22" t="s">
        <v>412</v>
      </c>
      <c r="D182" s="119">
        <v>2.8472306E7</v>
      </c>
      <c r="E182" s="20" t="s">
        <v>413</v>
      </c>
      <c r="F182" s="20">
        <v>4.122702111E9</v>
      </c>
      <c r="G182" s="108">
        <v>43326.0</v>
      </c>
      <c r="H182" s="20" t="s">
        <v>183</v>
      </c>
      <c r="I182" s="20"/>
      <c r="J182" s="90">
        <v>43336.0</v>
      </c>
      <c r="K182" s="20"/>
      <c r="L182" s="20"/>
      <c r="M182" s="38" t="s">
        <v>264</v>
      </c>
    </row>
    <row r="183" ht="22.5" customHeight="1">
      <c r="A183" s="20">
        <v>2018.0</v>
      </c>
      <c r="B183" s="20" t="s">
        <v>21</v>
      </c>
      <c r="C183" s="22" t="s">
        <v>414</v>
      </c>
      <c r="D183" s="119">
        <v>2.9625005E7</v>
      </c>
      <c r="E183" s="20" t="s">
        <v>415</v>
      </c>
      <c r="F183" s="20">
        <v>4.264135373E9</v>
      </c>
      <c r="G183" s="108">
        <v>43311.0</v>
      </c>
      <c r="H183" s="20" t="s">
        <v>183</v>
      </c>
      <c r="I183" s="20"/>
      <c r="J183" s="90">
        <v>43318.0</v>
      </c>
      <c r="K183" s="90">
        <v>43332.0</v>
      </c>
      <c r="L183" s="20"/>
      <c r="M183" s="38" t="s">
        <v>264</v>
      </c>
    </row>
    <row r="184" ht="22.5" customHeight="1">
      <c r="A184" s="20">
        <v>2018.0</v>
      </c>
      <c r="B184" s="24" t="s">
        <v>21</v>
      </c>
      <c r="C184" s="22" t="s">
        <v>416</v>
      </c>
      <c r="D184" s="20">
        <v>2.8028393E7</v>
      </c>
      <c r="E184" s="20" t="s">
        <v>417</v>
      </c>
      <c r="F184" s="20">
        <v>4.263045601E9</v>
      </c>
      <c r="G184" s="122">
        <v>43148.0</v>
      </c>
      <c r="H184" s="20" t="s">
        <v>215</v>
      </c>
      <c r="I184" s="20"/>
      <c r="J184" s="108">
        <v>43165.0</v>
      </c>
      <c r="K184" s="108">
        <v>43207.0</v>
      </c>
      <c r="L184" s="20"/>
      <c r="M184" s="38" t="s">
        <v>264</v>
      </c>
    </row>
    <row r="185" ht="22.5" customHeight="1">
      <c r="A185" s="113">
        <v>2018.0</v>
      </c>
      <c r="B185" s="123" t="s">
        <v>21</v>
      </c>
      <c r="C185" s="114" t="s">
        <v>418</v>
      </c>
      <c r="D185" s="113">
        <v>2.824692E7</v>
      </c>
      <c r="E185" s="123" t="s">
        <v>419</v>
      </c>
      <c r="F185" s="113">
        <v>4.247642363E9</v>
      </c>
      <c r="G185" s="124">
        <v>43043.0</v>
      </c>
      <c r="H185" s="113" t="s">
        <v>215</v>
      </c>
      <c r="I185" s="113"/>
      <c r="J185" s="125">
        <v>43132.0</v>
      </c>
      <c r="K185" s="125">
        <v>43180.0</v>
      </c>
      <c r="L185" s="123"/>
      <c r="M185" s="116" t="s">
        <v>346</v>
      </c>
      <c r="N185" s="117"/>
      <c r="O185" s="117"/>
      <c r="P185" s="117"/>
      <c r="Q185" s="117"/>
      <c r="R185" s="117"/>
      <c r="S185" s="117"/>
      <c r="T185" s="117"/>
      <c r="U185" s="117"/>
      <c r="V185" s="117"/>
      <c r="W185" s="117"/>
      <c r="X185" s="117"/>
      <c r="Y185" s="117"/>
      <c r="Z185" s="117"/>
    </row>
    <row r="186" ht="22.5" customHeight="1">
      <c r="A186" s="113">
        <v>2018.0</v>
      </c>
      <c r="B186" s="123" t="s">
        <v>420</v>
      </c>
      <c r="C186" s="114" t="s">
        <v>421</v>
      </c>
      <c r="D186" s="113">
        <v>2.8447104E7</v>
      </c>
      <c r="E186" s="123" t="s">
        <v>422</v>
      </c>
      <c r="F186" s="113">
        <v>4.264200519E9</v>
      </c>
      <c r="G186" s="124">
        <v>43043.0</v>
      </c>
      <c r="H186" s="113" t="s">
        <v>215</v>
      </c>
      <c r="I186" s="113"/>
      <c r="J186" s="123"/>
      <c r="K186" s="123"/>
      <c r="L186" s="123" t="s">
        <v>423</v>
      </c>
      <c r="M186" s="116" t="s">
        <v>247</v>
      </c>
      <c r="N186" s="117"/>
      <c r="O186" s="117"/>
      <c r="P186" s="117"/>
      <c r="Q186" s="117"/>
      <c r="R186" s="117"/>
      <c r="S186" s="117"/>
      <c r="T186" s="117"/>
      <c r="U186" s="117"/>
      <c r="V186" s="117"/>
      <c r="W186" s="117"/>
      <c r="X186" s="117"/>
      <c r="Y186" s="117"/>
      <c r="Z186" s="117"/>
    </row>
    <row r="187" ht="22.5" customHeight="1">
      <c r="A187" s="113">
        <v>2018.0</v>
      </c>
      <c r="B187" s="123" t="s">
        <v>21</v>
      </c>
      <c r="C187" s="114" t="s">
        <v>424</v>
      </c>
      <c r="D187" s="113">
        <v>2.8426481E7</v>
      </c>
      <c r="E187" s="123" t="s">
        <v>425</v>
      </c>
      <c r="F187" s="113">
        <v>4.125871283E9</v>
      </c>
      <c r="G187" s="124">
        <v>43148.0</v>
      </c>
      <c r="H187" s="113" t="s">
        <v>215</v>
      </c>
      <c r="I187" s="113"/>
      <c r="J187" s="115">
        <v>43165.0</v>
      </c>
      <c r="K187" s="115">
        <v>43207.0</v>
      </c>
      <c r="L187" s="113"/>
      <c r="M187" s="126" t="s">
        <v>264</v>
      </c>
      <c r="N187" s="117"/>
      <c r="O187" s="117"/>
      <c r="P187" s="117"/>
      <c r="Q187" s="117"/>
      <c r="R187" s="117"/>
      <c r="S187" s="117"/>
      <c r="T187" s="117"/>
      <c r="U187" s="117"/>
      <c r="V187" s="117"/>
      <c r="W187" s="117"/>
      <c r="X187" s="117"/>
      <c r="Y187" s="117"/>
      <c r="Z187" s="117"/>
    </row>
    <row r="188" ht="22.5" customHeight="1">
      <c r="A188" s="113">
        <v>2018.0</v>
      </c>
      <c r="B188" s="123" t="s">
        <v>21</v>
      </c>
      <c r="C188" s="114" t="s">
        <v>426</v>
      </c>
      <c r="D188" s="113">
        <v>2.7659685E7</v>
      </c>
      <c r="E188" s="123" t="s">
        <v>427</v>
      </c>
      <c r="F188" s="113">
        <v>4.149014531E9</v>
      </c>
      <c r="G188" s="124">
        <v>43148.0</v>
      </c>
      <c r="H188" s="113" t="s">
        <v>215</v>
      </c>
      <c r="I188" s="113"/>
      <c r="J188" s="115">
        <v>43165.0</v>
      </c>
      <c r="K188" s="115">
        <v>43207.0</v>
      </c>
      <c r="L188" s="127"/>
      <c r="M188" s="126" t="s">
        <v>264</v>
      </c>
      <c r="N188" s="117"/>
      <c r="O188" s="117"/>
      <c r="P188" s="117"/>
      <c r="Q188" s="117"/>
      <c r="R188" s="117"/>
      <c r="S188" s="117"/>
      <c r="T188" s="117"/>
      <c r="U188" s="117"/>
      <c r="V188" s="117"/>
      <c r="W188" s="117"/>
      <c r="X188" s="117"/>
      <c r="Y188" s="117"/>
      <c r="Z188" s="117"/>
    </row>
    <row r="189" ht="22.5" customHeight="1">
      <c r="A189" s="113">
        <v>2018.0</v>
      </c>
      <c r="B189" s="123" t="s">
        <v>21</v>
      </c>
      <c r="C189" s="114" t="s">
        <v>428</v>
      </c>
      <c r="D189" s="113">
        <v>2.7794901E7</v>
      </c>
      <c r="E189" s="123" t="s">
        <v>429</v>
      </c>
      <c r="F189" s="113">
        <v>4.129842021E9</v>
      </c>
      <c r="G189" s="124">
        <v>43206.0</v>
      </c>
      <c r="H189" s="113" t="s">
        <v>215</v>
      </c>
      <c r="I189" s="113"/>
      <c r="J189" s="115">
        <v>43207.0</v>
      </c>
      <c r="K189" s="115">
        <v>43222.0</v>
      </c>
      <c r="L189" s="113"/>
      <c r="M189" s="116" t="s">
        <v>346</v>
      </c>
      <c r="N189" s="117"/>
      <c r="O189" s="117"/>
      <c r="P189" s="117"/>
      <c r="Q189" s="117"/>
      <c r="R189" s="117"/>
      <c r="S189" s="117"/>
      <c r="T189" s="117"/>
      <c r="U189" s="117"/>
      <c r="V189" s="117"/>
      <c r="W189" s="117"/>
      <c r="X189" s="117"/>
      <c r="Y189" s="117"/>
      <c r="Z189" s="117"/>
    </row>
    <row r="190" ht="22.5" customHeight="1">
      <c r="A190" s="113">
        <v>2018.0</v>
      </c>
      <c r="B190" s="123" t="s">
        <v>21</v>
      </c>
      <c r="C190" s="114" t="s">
        <v>430</v>
      </c>
      <c r="D190" s="113">
        <v>2.7661125E7</v>
      </c>
      <c r="E190" s="123" t="s">
        <v>431</v>
      </c>
      <c r="F190" s="113">
        <v>4.242773751E9</v>
      </c>
      <c r="G190" s="128">
        <v>43202.0</v>
      </c>
      <c r="H190" s="113" t="s">
        <v>215</v>
      </c>
      <c r="I190" s="113"/>
      <c r="J190" s="115">
        <v>43208.0</v>
      </c>
      <c r="K190" s="115">
        <v>43224.0</v>
      </c>
      <c r="L190" s="113"/>
      <c r="M190" s="116" t="s">
        <v>346</v>
      </c>
      <c r="N190" s="117"/>
      <c r="O190" s="117"/>
      <c r="P190" s="117"/>
      <c r="Q190" s="117"/>
      <c r="R190" s="117"/>
      <c r="S190" s="117"/>
      <c r="T190" s="117"/>
      <c r="U190" s="117"/>
      <c r="V190" s="117"/>
      <c r="W190" s="117"/>
      <c r="X190" s="117"/>
      <c r="Y190" s="117"/>
      <c r="Z190" s="117"/>
    </row>
    <row r="191" ht="22.5" customHeight="1">
      <c r="A191" s="20">
        <v>2018.0</v>
      </c>
      <c r="B191" s="24" t="s">
        <v>432</v>
      </c>
      <c r="C191" s="114" t="s">
        <v>433</v>
      </c>
      <c r="D191" s="24">
        <v>2.849231E7</v>
      </c>
      <c r="E191" s="24" t="s">
        <v>434</v>
      </c>
      <c r="F191" s="24">
        <v>4.149020448E9</v>
      </c>
      <c r="G191" s="111">
        <v>43148.0</v>
      </c>
      <c r="H191" s="20" t="s">
        <v>229</v>
      </c>
      <c r="I191" s="20"/>
      <c r="J191" s="111">
        <v>43185.0</v>
      </c>
      <c r="K191" s="20"/>
      <c r="L191" s="24" t="s">
        <v>435</v>
      </c>
      <c r="M191" s="46" t="s">
        <v>436</v>
      </c>
    </row>
    <row r="192" ht="22.5" customHeight="1">
      <c r="A192" s="20">
        <v>2018.0</v>
      </c>
      <c r="B192" s="20" t="s">
        <v>21</v>
      </c>
      <c r="C192" s="114" t="s">
        <v>437</v>
      </c>
      <c r="D192" s="20">
        <v>2.9529516E7</v>
      </c>
      <c r="E192" s="20" t="s">
        <v>438</v>
      </c>
      <c r="F192" s="20">
        <v>4.142509694E9</v>
      </c>
      <c r="G192" s="108">
        <v>43272.0</v>
      </c>
      <c r="H192" s="20" t="s">
        <v>439</v>
      </c>
      <c r="I192" s="20"/>
      <c r="J192" s="108">
        <v>43283.0</v>
      </c>
      <c r="K192" s="108">
        <v>43299.0</v>
      </c>
      <c r="L192" s="20"/>
      <c r="M192" s="38" t="s">
        <v>264</v>
      </c>
    </row>
    <row r="193" ht="22.5" customHeight="1">
      <c r="A193" s="20">
        <v>2018.0</v>
      </c>
      <c r="B193" s="20" t="s">
        <v>21</v>
      </c>
      <c r="C193" s="114" t="s">
        <v>440</v>
      </c>
      <c r="D193" s="20">
        <v>2.8481301E7</v>
      </c>
      <c r="E193" s="20" t="s">
        <v>441</v>
      </c>
      <c r="F193" s="20">
        <v>2.126819764E9</v>
      </c>
      <c r="G193" s="108">
        <v>43299.0</v>
      </c>
      <c r="H193" s="20" t="s">
        <v>439</v>
      </c>
      <c r="I193" s="20"/>
      <c r="J193" s="90">
        <v>43306.0</v>
      </c>
      <c r="K193" s="90">
        <v>43337.0</v>
      </c>
      <c r="L193" s="20"/>
      <c r="M193" s="38" t="s">
        <v>264</v>
      </c>
    </row>
    <row r="194" ht="22.5" customHeight="1">
      <c r="A194" s="20">
        <v>2018.0</v>
      </c>
      <c r="B194" s="20" t="s">
        <v>21</v>
      </c>
      <c r="C194" s="114" t="s">
        <v>442</v>
      </c>
      <c r="D194" s="20">
        <v>2.8300299E7</v>
      </c>
      <c r="E194" s="20" t="s">
        <v>443</v>
      </c>
      <c r="F194" s="20">
        <v>2.124840789E9</v>
      </c>
      <c r="G194" s="108">
        <v>43299.0</v>
      </c>
      <c r="H194" s="20" t="s">
        <v>439</v>
      </c>
      <c r="I194" s="20"/>
      <c r="J194" s="90">
        <v>43306.0</v>
      </c>
      <c r="K194" s="90">
        <v>43337.0</v>
      </c>
      <c r="L194" s="20"/>
      <c r="M194" s="38" t="s">
        <v>264</v>
      </c>
    </row>
    <row r="195" ht="22.5" customHeight="1">
      <c r="A195" s="20">
        <v>2018.0</v>
      </c>
      <c r="B195" s="20" t="s">
        <v>21</v>
      </c>
      <c r="C195" s="114" t="s">
        <v>444</v>
      </c>
      <c r="D195" s="119">
        <v>2.8494025E7</v>
      </c>
      <c r="E195" s="112" t="s">
        <v>445</v>
      </c>
      <c r="F195" s="20">
        <v>4.242577866E9</v>
      </c>
      <c r="G195" s="90">
        <v>43423.0</v>
      </c>
      <c r="H195" s="20" t="s">
        <v>439</v>
      </c>
      <c r="I195" s="20"/>
      <c r="J195" s="90">
        <v>43440.0</v>
      </c>
      <c r="K195" s="90">
        <v>43455.0</v>
      </c>
      <c r="L195" s="20"/>
      <c r="M195" s="38" t="s">
        <v>264</v>
      </c>
    </row>
    <row r="196" ht="22.5" customHeight="1">
      <c r="A196" s="20">
        <v>2018.0</v>
      </c>
      <c r="B196" s="20" t="s">
        <v>21</v>
      </c>
      <c r="C196" s="114" t="s">
        <v>446</v>
      </c>
      <c r="D196" s="20">
        <v>2.7294655E7</v>
      </c>
      <c r="E196" s="20" t="s">
        <v>447</v>
      </c>
      <c r="F196" s="20">
        <v>4.241745365E9</v>
      </c>
      <c r="G196" s="108">
        <v>43148.0</v>
      </c>
      <c r="H196" s="20" t="s">
        <v>448</v>
      </c>
      <c r="I196" s="20"/>
      <c r="J196" s="108">
        <v>43150.0</v>
      </c>
      <c r="K196" s="108">
        <v>43179.0</v>
      </c>
      <c r="L196" s="20"/>
      <c r="M196" s="38" t="s">
        <v>264</v>
      </c>
    </row>
    <row r="197" ht="22.5" customHeight="1">
      <c r="A197" s="20">
        <v>2018.0</v>
      </c>
      <c r="B197" s="20" t="s">
        <v>21</v>
      </c>
      <c r="C197" s="114" t="s">
        <v>449</v>
      </c>
      <c r="D197" s="20">
        <v>3.0145372E7</v>
      </c>
      <c r="E197" s="20" t="s">
        <v>450</v>
      </c>
      <c r="F197" s="20">
        <v>4.129222425E9</v>
      </c>
      <c r="G197" s="108">
        <v>43148.0</v>
      </c>
      <c r="H197" s="20" t="s">
        <v>448</v>
      </c>
      <c r="I197" s="20"/>
      <c r="J197" s="108">
        <v>43150.0</v>
      </c>
      <c r="K197" s="108">
        <v>43180.0</v>
      </c>
      <c r="L197" s="20"/>
      <c r="M197" s="38" t="s">
        <v>264</v>
      </c>
    </row>
    <row r="198" ht="22.5" customHeight="1">
      <c r="A198" s="20">
        <v>2018.0</v>
      </c>
      <c r="B198" s="24" t="s">
        <v>420</v>
      </c>
      <c r="C198" s="114" t="s">
        <v>451</v>
      </c>
      <c r="D198" s="24">
        <v>2.8326522E7</v>
      </c>
      <c r="E198" s="24" t="s">
        <v>452</v>
      </c>
      <c r="F198" s="24">
        <v>4.12554669E9</v>
      </c>
      <c r="G198" s="111">
        <v>43174.0</v>
      </c>
      <c r="H198" s="20" t="s">
        <v>453</v>
      </c>
      <c r="I198" s="20"/>
      <c r="J198" s="20"/>
      <c r="K198" s="20"/>
      <c r="L198" s="24" t="s">
        <v>454</v>
      </c>
      <c r="M198" s="46" t="s">
        <v>247</v>
      </c>
    </row>
    <row r="199" ht="22.5" customHeight="1">
      <c r="A199" s="113">
        <v>2018.0</v>
      </c>
      <c r="B199" s="123" t="s">
        <v>21</v>
      </c>
      <c r="C199" s="114" t="s">
        <v>455</v>
      </c>
      <c r="D199" s="129">
        <v>3.0124025E7</v>
      </c>
      <c r="E199" s="130" t="s">
        <v>456</v>
      </c>
      <c r="F199" s="123">
        <v>4.142520674E9</v>
      </c>
      <c r="G199" s="124">
        <v>43309.0</v>
      </c>
      <c r="H199" s="113" t="s">
        <v>457</v>
      </c>
      <c r="I199" s="113"/>
      <c r="J199" s="125">
        <v>43311.0</v>
      </c>
      <c r="K199" s="125">
        <v>43329.0</v>
      </c>
      <c r="L199" s="113"/>
      <c r="M199" s="116" t="s">
        <v>346</v>
      </c>
      <c r="N199" s="117"/>
      <c r="O199" s="117"/>
      <c r="P199" s="117"/>
      <c r="Q199" s="117"/>
      <c r="R199" s="117"/>
      <c r="S199" s="117"/>
      <c r="T199" s="117"/>
      <c r="U199" s="117"/>
      <c r="V199" s="117"/>
      <c r="W199" s="117"/>
      <c r="X199" s="117"/>
      <c r="Y199" s="117"/>
      <c r="Z199" s="117"/>
    </row>
    <row r="200" ht="22.5" customHeight="1">
      <c r="A200" s="113">
        <v>2018.0</v>
      </c>
      <c r="B200" s="113" t="s">
        <v>21</v>
      </c>
      <c r="C200" s="114" t="s">
        <v>458</v>
      </c>
      <c r="D200" s="113">
        <v>3.0124506E7</v>
      </c>
      <c r="E200" s="113" t="s">
        <v>459</v>
      </c>
      <c r="F200" s="113">
        <v>4.241037893E9</v>
      </c>
      <c r="G200" s="115">
        <v>43148.0</v>
      </c>
      <c r="H200" s="113" t="s">
        <v>234</v>
      </c>
      <c r="I200" s="113"/>
      <c r="J200" s="115">
        <v>43154.0</v>
      </c>
      <c r="K200" s="115">
        <v>43280.0</v>
      </c>
      <c r="L200" s="113"/>
      <c r="M200" s="116" t="s">
        <v>346</v>
      </c>
      <c r="N200" s="117"/>
      <c r="O200" s="117"/>
      <c r="P200" s="117"/>
      <c r="Q200" s="117"/>
      <c r="R200" s="117"/>
      <c r="S200" s="117"/>
      <c r="T200" s="117"/>
      <c r="U200" s="117"/>
      <c r="V200" s="117"/>
      <c r="W200" s="117"/>
      <c r="X200" s="117"/>
      <c r="Y200" s="117"/>
      <c r="Z200" s="117"/>
    </row>
    <row r="201" ht="22.5" customHeight="1">
      <c r="A201" s="113">
        <v>2018.0</v>
      </c>
      <c r="B201" s="113" t="s">
        <v>21</v>
      </c>
      <c r="C201" s="114" t="s">
        <v>460</v>
      </c>
      <c r="D201" s="113">
        <v>2.9954646E7</v>
      </c>
      <c r="E201" s="113" t="s">
        <v>461</v>
      </c>
      <c r="F201" s="113">
        <v>4.241787728E9</v>
      </c>
      <c r="G201" s="115">
        <v>43148.0</v>
      </c>
      <c r="H201" s="113" t="s">
        <v>234</v>
      </c>
      <c r="I201" s="113"/>
      <c r="J201" s="115">
        <v>43154.0</v>
      </c>
      <c r="K201" s="115">
        <v>43280.0</v>
      </c>
      <c r="L201" s="113"/>
      <c r="M201" s="116" t="s">
        <v>346</v>
      </c>
      <c r="N201" s="117"/>
      <c r="O201" s="117"/>
      <c r="P201" s="117"/>
      <c r="Q201" s="117"/>
      <c r="R201" s="117"/>
      <c r="S201" s="117"/>
      <c r="T201" s="117"/>
      <c r="U201" s="117"/>
      <c r="V201" s="117"/>
      <c r="W201" s="117"/>
      <c r="X201" s="117"/>
      <c r="Y201" s="117"/>
      <c r="Z201" s="117"/>
    </row>
    <row r="202" ht="22.5" customHeight="1">
      <c r="A202" s="113">
        <v>2018.0</v>
      </c>
      <c r="B202" s="113" t="s">
        <v>21</v>
      </c>
      <c r="C202" s="114" t="s">
        <v>462</v>
      </c>
      <c r="D202" s="113">
        <v>3.0030408E7</v>
      </c>
      <c r="E202" s="113" t="s">
        <v>463</v>
      </c>
      <c r="F202" s="113">
        <v>4.142263442E9</v>
      </c>
      <c r="G202" s="115">
        <v>43148.0</v>
      </c>
      <c r="H202" s="113" t="s">
        <v>234</v>
      </c>
      <c r="I202" s="113"/>
      <c r="J202" s="115">
        <v>43161.0</v>
      </c>
      <c r="K202" s="115">
        <v>43280.0</v>
      </c>
      <c r="L202" s="113"/>
      <c r="M202" s="116" t="s">
        <v>346</v>
      </c>
      <c r="N202" s="117"/>
      <c r="O202" s="117"/>
      <c r="P202" s="117"/>
      <c r="Q202" s="117"/>
      <c r="R202" s="117"/>
      <c r="S202" s="117"/>
      <c r="T202" s="117"/>
      <c r="U202" s="117"/>
      <c r="V202" s="117"/>
      <c r="W202" s="117"/>
      <c r="X202" s="117"/>
      <c r="Y202" s="117"/>
      <c r="Z202" s="117"/>
    </row>
    <row r="203" ht="22.5" customHeight="1">
      <c r="A203" s="113">
        <v>2018.0</v>
      </c>
      <c r="B203" s="113" t="s">
        <v>21</v>
      </c>
      <c r="C203" s="114" t="s">
        <v>464</v>
      </c>
      <c r="D203" s="113">
        <v>3.0165721E7</v>
      </c>
      <c r="E203" s="113" t="s">
        <v>465</v>
      </c>
      <c r="F203" s="113">
        <v>4.242499002E9</v>
      </c>
      <c r="G203" s="115">
        <v>43148.0</v>
      </c>
      <c r="H203" s="113" t="s">
        <v>234</v>
      </c>
      <c r="I203" s="113"/>
      <c r="J203" s="115">
        <v>43161.0</v>
      </c>
      <c r="K203" s="115">
        <v>43280.0</v>
      </c>
      <c r="L203" s="113"/>
      <c r="M203" s="116" t="s">
        <v>346</v>
      </c>
      <c r="N203" s="117"/>
      <c r="O203" s="117"/>
      <c r="P203" s="117"/>
      <c r="Q203" s="117"/>
      <c r="R203" s="117"/>
      <c r="S203" s="117"/>
      <c r="T203" s="117"/>
      <c r="U203" s="117"/>
      <c r="V203" s="117"/>
      <c r="W203" s="117"/>
      <c r="X203" s="117"/>
      <c r="Y203" s="117"/>
      <c r="Z203" s="117"/>
    </row>
    <row r="204" ht="22.5" customHeight="1">
      <c r="A204" s="113">
        <v>2018.0</v>
      </c>
      <c r="B204" s="113" t="s">
        <v>21</v>
      </c>
      <c r="C204" s="114" t="s">
        <v>466</v>
      </c>
      <c r="D204" s="113">
        <v>2.9265975E7</v>
      </c>
      <c r="E204" s="113" t="s">
        <v>467</v>
      </c>
      <c r="F204" s="113">
        <v>4.265124123E9</v>
      </c>
      <c r="G204" s="115">
        <v>43148.0</v>
      </c>
      <c r="H204" s="113" t="s">
        <v>234</v>
      </c>
      <c r="I204" s="113"/>
      <c r="J204" s="115">
        <v>43161.0</v>
      </c>
      <c r="K204" s="115">
        <v>43280.0</v>
      </c>
      <c r="L204" s="113"/>
      <c r="M204" s="116" t="s">
        <v>346</v>
      </c>
      <c r="N204" s="117"/>
      <c r="O204" s="117"/>
      <c r="P204" s="117"/>
      <c r="Q204" s="117"/>
      <c r="R204" s="117"/>
      <c r="S204" s="117"/>
      <c r="T204" s="117"/>
      <c r="U204" s="117"/>
      <c r="V204" s="117"/>
      <c r="W204" s="117"/>
      <c r="X204" s="117"/>
      <c r="Y204" s="117"/>
      <c r="Z204" s="117"/>
    </row>
    <row r="205" ht="22.5" customHeight="1">
      <c r="A205" s="113">
        <v>2018.0</v>
      </c>
      <c r="B205" s="113" t="s">
        <v>21</v>
      </c>
      <c r="C205" s="114" t="s">
        <v>468</v>
      </c>
      <c r="D205" s="113">
        <v>3.0248262E7</v>
      </c>
      <c r="E205" s="113" t="s">
        <v>469</v>
      </c>
      <c r="F205" s="113">
        <v>4.141545003E9</v>
      </c>
      <c r="G205" s="115">
        <v>43148.0</v>
      </c>
      <c r="H205" s="113" t="s">
        <v>234</v>
      </c>
      <c r="I205" s="113"/>
      <c r="J205" s="115">
        <v>43154.0</v>
      </c>
      <c r="K205" s="115">
        <v>43280.0</v>
      </c>
      <c r="L205" s="113"/>
      <c r="M205" s="116" t="s">
        <v>346</v>
      </c>
      <c r="N205" s="117"/>
      <c r="O205" s="117"/>
      <c r="P205" s="117"/>
      <c r="Q205" s="117"/>
      <c r="R205" s="117"/>
      <c r="S205" s="117"/>
      <c r="T205" s="117"/>
      <c r="U205" s="117"/>
      <c r="V205" s="117"/>
      <c r="W205" s="117"/>
      <c r="X205" s="117"/>
      <c r="Y205" s="117"/>
      <c r="Z205" s="117"/>
    </row>
    <row r="206" ht="22.5" customHeight="1">
      <c r="A206" s="20">
        <v>2019.0</v>
      </c>
      <c r="B206" s="20" t="s">
        <v>21</v>
      </c>
      <c r="C206" s="71" t="s">
        <v>470</v>
      </c>
      <c r="D206" s="119">
        <v>2.9625635E7</v>
      </c>
      <c r="E206" s="112" t="s">
        <v>471</v>
      </c>
      <c r="F206" s="20">
        <v>4.123335062E9</v>
      </c>
      <c r="G206" s="90">
        <v>43582.0</v>
      </c>
      <c r="H206" s="20" t="s">
        <v>472</v>
      </c>
      <c r="I206" s="20"/>
      <c r="J206" s="108">
        <v>43655.0</v>
      </c>
      <c r="K206" s="90">
        <v>43706.0</v>
      </c>
      <c r="L206" s="20"/>
      <c r="M206" s="38" t="s">
        <v>264</v>
      </c>
    </row>
    <row r="207" ht="22.5" customHeight="1">
      <c r="A207" s="20">
        <v>2019.0</v>
      </c>
      <c r="B207" s="20" t="s">
        <v>21</v>
      </c>
      <c r="C207" s="71" t="s">
        <v>473</v>
      </c>
      <c r="D207" s="119">
        <v>2.8318318E7</v>
      </c>
      <c r="E207" s="112" t="s">
        <v>474</v>
      </c>
      <c r="F207" s="20">
        <v>4.24230559E9</v>
      </c>
      <c r="G207" s="90">
        <v>43547.0</v>
      </c>
      <c r="H207" s="20" t="s">
        <v>472</v>
      </c>
      <c r="I207" s="20"/>
      <c r="J207" s="108">
        <v>43655.0</v>
      </c>
      <c r="K207" s="90">
        <v>43706.0</v>
      </c>
      <c r="L207" s="20"/>
      <c r="M207" s="38" t="s">
        <v>264</v>
      </c>
    </row>
    <row r="208" ht="22.5" customHeight="1">
      <c r="A208" s="20">
        <v>2019.0</v>
      </c>
      <c r="B208" s="20" t="s">
        <v>21</v>
      </c>
      <c r="C208" s="71" t="s">
        <v>475</v>
      </c>
      <c r="D208" s="20">
        <v>2.9662101E7</v>
      </c>
      <c r="E208" s="112" t="s">
        <v>476</v>
      </c>
      <c r="F208" s="20">
        <v>4.241601773E9</v>
      </c>
      <c r="G208" s="90">
        <v>43673.0</v>
      </c>
      <c r="H208" s="20" t="s">
        <v>472</v>
      </c>
      <c r="I208" s="20"/>
      <c r="J208" s="108">
        <v>43683.0</v>
      </c>
      <c r="K208" s="90">
        <v>43697.0</v>
      </c>
      <c r="L208" s="20" t="s">
        <v>477</v>
      </c>
      <c r="M208" s="38" t="s">
        <v>264</v>
      </c>
    </row>
    <row r="209" ht="22.5" customHeight="1">
      <c r="A209" s="20">
        <v>2019.0</v>
      </c>
      <c r="B209" s="20" t="s">
        <v>21</v>
      </c>
      <c r="C209" s="71" t="s">
        <v>478</v>
      </c>
      <c r="D209" s="119">
        <v>2.8472351E7</v>
      </c>
      <c r="E209" s="112" t="s">
        <v>479</v>
      </c>
      <c r="F209" s="20"/>
      <c r="G209" s="90">
        <v>43547.0</v>
      </c>
      <c r="H209" s="20" t="s">
        <v>472</v>
      </c>
      <c r="I209" s="20"/>
      <c r="J209" s="90">
        <v>43668.0</v>
      </c>
      <c r="K209" s="90">
        <v>43685.0</v>
      </c>
      <c r="L209" s="20" t="s">
        <v>480</v>
      </c>
      <c r="M209" s="38" t="s">
        <v>264</v>
      </c>
    </row>
    <row r="210" ht="22.5" customHeight="1">
      <c r="A210" s="20">
        <v>2019.0</v>
      </c>
      <c r="B210" s="20" t="s">
        <v>21</v>
      </c>
      <c r="C210" s="71" t="s">
        <v>481</v>
      </c>
      <c r="D210" s="20">
        <v>2.9677307E7</v>
      </c>
      <c r="E210" s="20" t="s">
        <v>482</v>
      </c>
      <c r="F210" s="20">
        <v>4.1431794E9</v>
      </c>
      <c r="G210" s="90">
        <v>43728.0</v>
      </c>
      <c r="H210" s="20" t="s">
        <v>472</v>
      </c>
      <c r="I210" s="20"/>
      <c r="J210" s="90">
        <v>43732.0</v>
      </c>
      <c r="K210" s="90">
        <v>43817.0</v>
      </c>
      <c r="L210" s="20"/>
      <c r="M210" s="38" t="s">
        <v>264</v>
      </c>
    </row>
    <row r="211" ht="22.5" customHeight="1">
      <c r="A211" s="20">
        <v>2019.0</v>
      </c>
      <c r="B211" s="20" t="s">
        <v>21</v>
      </c>
      <c r="C211" s="71" t="s">
        <v>483</v>
      </c>
      <c r="D211" s="20">
        <v>2.9706358E7</v>
      </c>
      <c r="E211" s="20" t="s">
        <v>484</v>
      </c>
      <c r="F211" s="20">
        <v>4.12501659E9</v>
      </c>
      <c r="G211" s="90">
        <v>43757.0</v>
      </c>
      <c r="H211" s="20" t="s">
        <v>472</v>
      </c>
      <c r="I211" s="20"/>
      <c r="J211" s="90">
        <v>43811.0</v>
      </c>
      <c r="K211" s="90">
        <v>43893.0</v>
      </c>
      <c r="L211" s="20"/>
      <c r="M211" s="38" t="s">
        <v>264</v>
      </c>
    </row>
    <row r="212" ht="22.5" customHeight="1">
      <c r="A212" s="20">
        <v>2019.0</v>
      </c>
      <c r="B212" s="20" t="s">
        <v>21</v>
      </c>
      <c r="C212" s="71" t="s">
        <v>485</v>
      </c>
      <c r="D212" s="119">
        <v>2.9887142E7</v>
      </c>
      <c r="E212" s="20" t="s">
        <v>486</v>
      </c>
      <c r="F212" s="20">
        <v>4.127397453E9</v>
      </c>
      <c r="G212" s="90">
        <v>43813.0</v>
      </c>
      <c r="H212" s="20" t="s">
        <v>472</v>
      </c>
      <c r="I212" s="20"/>
      <c r="J212" s="90">
        <v>43818.0</v>
      </c>
      <c r="K212" s="90">
        <v>43830.0</v>
      </c>
      <c r="L212" s="20"/>
      <c r="M212" s="38" t="s">
        <v>264</v>
      </c>
    </row>
    <row r="213" ht="22.5" customHeight="1">
      <c r="A213" s="20">
        <v>2019.0</v>
      </c>
      <c r="B213" s="20" t="s">
        <v>21</v>
      </c>
      <c r="C213" s="71" t="s">
        <v>487</v>
      </c>
      <c r="D213" s="119">
        <v>3.0035184E7</v>
      </c>
      <c r="E213" s="112" t="s">
        <v>488</v>
      </c>
      <c r="F213" s="20">
        <v>2.124820904E9</v>
      </c>
      <c r="G213" s="90">
        <v>43381.0</v>
      </c>
      <c r="H213" s="20" t="s">
        <v>46</v>
      </c>
      <c r="I213" s="20"/>
      <c r="J213" s="108">
        <v>43395.0</v>
      </c>
      <c r="K213" s="90">
        <v>43483.0</v>
      </c>
      <c r="L213" s="20" t="s">
        <v>489</v>
      </c>
      <c r="M213" s="38" t="s">
        <v>264</v>
      </c>
    </row>
    <row r="214" ht="22.5" customHeight="1">
      <c r="A214" s="20">
        <v>2019.0</v>
      </c>
      <c r="B214" s="20" t="s">
        <v>21</v>
      </c>
      <c r="C214" s="80" t="s">
        <v>490</v>
      </c>
      <c r="D214" s="119">
        <v>2.8490831E7</v>
      </c>
      <c r="E214" s="112" t="s">
        <v>491</v>
      </c>
      <c r="F214" s="20">
        <v>4.142295701E9</v>
      </c>
      <c r="G214" s="90">
        <v>43381.0</v>
      </c>
      <c r="H214" s="20" t="s">
        <v>46</v>
      </c>
      <c r="I214" s="20"/>
      <c r="J214" s="108">
        <v>43395.0</v>
      </c>
      <c r="K214" s="90">
        <v>43483.0</v>
      </c>
      <c r="L214" s="20" t="s">
        <v>492</v>
      </c>
      <c r="M214" s="38" t="s">
        <v>264</v>
      </c>
    </row>
    <row r="215" ht="22.5" customHeight="1">
      <c r="A215" s="20">
        <v>2019.0</v>
      </c>
      <c r="B215" s="20" t="s">
        <v>21</v>
      </c>
      <c r="C215" s="71" t="s">
        <v>493</v>
      </c>
      <c r="D215" s="119">
        <v>2.9664124E7</v>
      </c>
      <c r="E215" s="112" t="s">
        <v>494</v>
      </c>
      <c r="F215" s="20">
        <v>4.126989672E9</v>
      </c>
      <c r="G215" s="90">
        <v>43381.0</v>
      </c>
      <c r="H215" s="20" t="s">
        <v>46</v>
      </c>
      <c r="I215" s="20"/>
      <c r="J215" s="108">
        <v>43395.0</v>
      </c>
      <c r="K215" s="90">
        <v>43483.0</v>
      </c>
      <c r="L215" s="20" t="s">
        <v>489</v>
      </c>
      <c r="M215" s="38" t="s">
        <v>264</v>
      </c>
    </row>
    <row r="216" ht="22.5" customHeight="1">
      <c r="A216" s="20">
        <v>2019.0</v>
      </c>
      <c r="B216" s="20" t="s">
        <v>495</v>
      </c>
      <c r="C216" s="71" t="s">
        <v>496</v>
      </c>
      <c r="D216" s="119">
        <v>2.8494622E7</v>
      </c>
      <c r="E216" s="20" t="s">
        <v>497</v>
      </c>
      <c r="F216" s="20">
        <v>4.129603382E9</v>
      </c>
      <c r="G216" s="90">
        <v>43776.0</v>
      </c>
      <c r="H216" s="20" t="s">
        <v>246</v>
      </c>
      <c r="I216" s="20"/>
      <c r="J216" s="90">
        <v>43803.0</v>
      </c>
      <c r="K216" s="20"/>
      <c r="L216" s="20" t="s">
        <v>498</v>
      </c>
      <c r="M216" s="38" t="s">
        <v>36</v>
      </c>
    </row>
    <row r="217" ht="22.5" customHeight="1">
      <c r="A217" s="20">
        <v>2019.0</v>
      </c>
      <c r="B217" s="20" t="s">
        <v>21</v>
      </c>
      <c r="C217" s="71" t="s">
        <v>499</v>
      </c>
      <c r="D217" s="119">
        <v>2.953755E7</v>
      </c>
      <c r="E217" s="112" t="s">
        <v>500</v>
      </c>
      <c r="F217" s="20">
        <v>4.241729776E9</v>
      </c>
      <c r="G217" s="108">
        <v>43381.0</v>
      </c>
      <c r="H217" s="20" t="s">
        <v>262</v>
      </c>
      <c r="I217" s="20"/>
      <c r="J217" s="90">
        <v>43389.0</v>
      </c>
      <c r="K217" s="90">
        <v>43728.0</v>
      </c>
      <c r="L217" s="20" t="s">
        <v>501</v>
      </c>
      <c r="M217" s="38" t="s">
        <v>264</v>
      </c>
    </row>
    <row r="218" ht="22.5" customHeight="1">
      <c r="A218" s="20">
        <v>2019.0</v>
      </c>
      <c r="B218" s="20" t="s">
        <v>21</v>
      </c>
      <c r="C218" s="71" t="s">
        <v>502</v>
      </c>
      <c r="D218" s="119">
        <v>2.9662587E7</v>
      </c>
      <c r="E218" s="112" t="s">
        <v>503</v>
      </c>
      <c r="F218" s="20">
        <v>4.149379191E9</v>
      </c>
      <c r="G218" s="108">
        <v>43381.0</v>
      </c>
      <c r="H218" s="20" t="s">
        <v>262</v>
      </c>
      <c r="I218" s="20"/>
      <c r="J218" s="90">
        <v>43389.0</v>
      </c>
      <c r="K218" s="90">
        <v>43501.0</v>
      </c>
      <c r="L218" s="20"/>
      <c r="M218" s="38" t="s">
        <v>264</v>
      </c>
    </row>
    <row r="219" ht="22.5" customHeight="1">
      <c r="A219" s="20">
        <v>2019.0</v>
      </c>
      <c r="B219" s="20" t="s">
        <v>21</v>
      </c>
      <c r="C219" s="71" t="s">
        <v>504</v>
      </c>
      <c r="D219" s="20">
        <v>2.957655E7</v>
      </c>
      <c r="E219" s="112" t="s">
        <v>505</v>
      </c>
      <c r="F219" s="20">
        <v>4.165104964E9</v>
      </c>
      <c r="G219" s="20"/>
      <c r="H219" s="20" t="s">
        <v>92</v>
      </c>
      <c r="I219" s="20"/>
      <c r="J219" s="90">
        <v>43668.0</v>
      </c>
      <c r="K219" s="90">
        <v>43676.0</v>
      </c>
      <c r="L219" s="20"/>
      <c r="M219" s="38" t="s">
        <v>264</v>
      </c>
    </row>
    <row r="220" ht="22.5" customHeight="1">
      <c r="A220" s="20">
        <v>2019.0</v>
      </c>
      <c r="B220" s="20" t="s">
        <v>21</v>
      </c>
      <c r="C220" s="71" t="s">
        <v>506</v>
      </c>
      <c r="D220" s="119">
        <v>2.963179E7</v>
      </c>
      <c r="E220" s="20" t="s">
        <v>507</v>
      </c>
      <c r="F220" s="20">
        <v>4.242573039E9</v>
      </c>
      <c r="G220" s="90">
        <v>43776.0</v>
      </c>
      <c r="H220" s="20" t="s">
        <v>508</v>
      </c>
      <c r="I220" s="20"/>
      <c r="J220" s="90">
        <v>43795.0</v>
      </c>
      <c r="K220" s="90">
        <v>43865.0</v>
      </c>
      <c r="L220" s="20"/>
      <c r="M220" s="38" t="s">
        <v>264</v>
      </c>
    </row>
    <row r="221" ht="22.5" customHeight="1">
      <c r="A221" s="20">
        <v>2019.0</v>
      </c>
      <c r="B221" s="20" t="s">
        <v>21</v>
      </c>
      <c r="C221" s="71" t="s">
        <v>509</v>
      </c>
      <c r="D221" s="119">
        <v>3.1101352E7</v>
      </c>
      <c r="E221" s="112" t="s">
        <v>510</v>
      </c>
      <c r="F221" s="20">
        <v>4.241317369E9</v>
      </c>
      <c r="G221" s="90">
        <v>43728.0</v>
      </c>
      <c r="H221" s="20" t="s">
        <v>511</v>
      </c>
      <c r="I221" s="20"/>
      <c r="J221" s="90">
        <v>43763.0</v>
      </c>
      <c r="K221" s="90">
        <v>43854.0</v>
      </c>
      <c r="L221" s="20" t="s">
        <v>512</v>
      </c>
      <c r="M221" s="38" t="s">
        <v>264</v>
      </c>
    </row>
    <row r="222" ht="22.5" customHeight="1">
      <c r="A222" s="20">
        <v>2019.0</v>
      </c>
      <c r="B222" s="108" t="s">
        <v>21</v>
      </c>
      <c r="C222" s="71" t="s">
        <v>513</v>
      </c>
      <c r="D222" s="119">
        <v>2.8158417E7</v>
      </c>
      <c r="E222" s="112" t="s">
        <v>514</v>
      </c>
      <c r="F222" s="20">
        <v>4.123850608E9</v>
      </c>
      <c r="G222" s="90">
        <v>43423.0</v>
      </c>
      <c r="H222" s="20" t="s">
        <v>162</v>
      </c>
      <c r="I222" s="20"/>
      <c r="J222" s="90">
        <v>43486.0</v>
      </c>
      <c r="K222" s="90">
        <v>43587.0</v>
      </c>
      <c r="L222" s="20" t="s">
        <v>515</v>
      </c>
      <c r="M222" s="38" t="s">
        <v>264</v>
      </c>
    </row>
    <row r="223" ht="22.5" customHeight="1">
      <c r="A223" s="20">
        <v>2019.0</v>
      </c>
      <c r="B223" s="108" t="s">
        <v>21</v>
      </c>
      <c r="C223" s="71" t="s">
        <v>516</v>
      </c>
      <c r="D223" s="119">
        <v>2.9508924E7</v>
      </c>
      <c r="E223" s="112" t="s">
        <v>517</v>
      </c>
      <c r="F223" s="20">
        <v>4.125950567E9</v>
      </c>
      <c r="G223" s="90">
        <v>43423.0</v>
      </c>
      <c r="H223" s="20" t="s">
        <v>162</v>
      </c>
      <c r="I223" s="20"/>
      <c r="J223" s="90">
        <v>43486.0</v>
      </c>
      <c r="K223" s="90">
        <v>43559.0</v>
      </c>
      <c r="L223" s="20" t="s">
        <v>515</v>
      </c>
      <c r="M223" s="38" t="s">
        <v>264</v>
      </c>
    </row>
    <row r="224" ht="22.5" customHeight="1">
      <c r="A224" s="20">
        <v>2019.0</v>
      </c>
      <c r="B224" s="108" t="s">
        <v>21</v>
      </c>
      <c r="C224" s="71" t="s">
        <v>518</v>
      </c>
      <c r="D224" s="20">
        <v>2.9551293E7</v>
      </c>
      <c r="E224" s="112" t="s">
        <v>519</v>
      </c>
      <c r="F224" s="20">
        <v>4.2417295E9</v>
      </c>
      <c r="G224" s="90">
        <v>43440.0</v>
      </c>
      <c r="H224" s="20" t="s">
        <v>162</v>
      </c>
      <c r="I224" s="20"/>
      <c r="J224" s="90">
        <v>43487.0</v>
      </c>
      <c r="K224" s="90">
        <v>43539.0</v>
      </c>
      <c r="L224" s="20" t="s">
        <v>520</v>
      </c>
      <c r="M224" s="38" t="s">
        <v>264</v>
      </c>
    </row>
    <row r="225" ht="22.5" customHeight="1">
      <c r="A225" s="20">
        <v>2019.0</v>
      </c>
      <c r="B225" s="108" t="s">
        <v>21</v>
      </c>
      <c r="C225" s="71" t="s">
        <v>521</v>
      </c>
      <c r="D225" s="20">
        <v>2.8318083E7</v>
      </c>
      <c r="E225" s="20" t="s">
        <v>522</v>
      </c>
      <c r="F225" s="20">
        <v>4.242570088E9</v>
      </c>
      <c r="G225" s="90">
        <v>43440.0</v>
      </c>
      <c r="H225" s="20" t="s">
        <v>162</v>
      </c>
      <c r="I225" s="20"/>
      <c r="J225" s="90">
        <v>43487.0</v>
      </c>
      <c r="K225" s="20"/>
      <c r="L225" s="20" t="s">
        <v>523</v>
      </c>
      <c r="M225" s="38" t="s">
        <v>264</v>
      </c>
    </row>
    <row r="226" ht="22.5" customHeight="1">
      <c r="A226" s="20">
        <v>2019.0</v>
      </c>
      <c r="B226" s="108" t="s">
        <v>21</v>
      </c>
      <c r="C226" s="71" t="s">
        <v>524</v>
      </c>
      <c r="D226" s="20">
        <v>2.8317583E7</v>
      </c>
      <c r="E226" s="112" t="s">
        <v>525</v>
      </c>
      <c r="F226" s="20">
        <v>4.120207776E9</v>
      </c>
      <c r="G226" s="90">
        <v>43813.0</v>
      </c>
      <c r="H226" s="20" t="s">
        <v>162</v>
      </c>
      <c r="I226" s="20"/>
      <c r="J226" s="90">
        <v>43484.0</v>
      </c>
      <c r="K226" s="90">
        <v>43500.0</v>
      </c>
      <c r="L226" s="20" t="s">
        <v>512</v>
      </c>
      <c r="M226" s="38" t="s">
        <v>264</v>
      </c>
    </row>
    <row r="227" ht="22.5" customHeight="1">
      <c r="A227" s="20">
        <v>2019.0</v>
      </c>
      <c r="B227" s="108" t="s">
        <v>21</v>
      </c>
      <c r="C227" s="71" t="s">
        <v>526</v>
      </c>
      <c r="D227" s="119">
        <v>2.7941938E7</v>
      </c>
      <c r="E227" s="112" t="s">
        <v>527</v>
      </c>
      <c r="F227" s="20">
        <v>4.261108257E9</v>
      </c>
      <c r="G227" s="90">
        <v>43813.0</v>
      </c>
      <c r="H227" s="20" t="s">
        <v>162</v>
      </c>
      <c r="I227" s="20"/>
      <c r="J227" s="90">
        <v>43484.0</v>
      </c>
      <c r="K227" s="90">
        <v>43503.0</v>
      </c>
      <c r="L227" s="20" t="s">
        <v>512</v>
      </c>
      <c r="M227" s="38" t="s">
        <v>264</v>
      </c>
    </row>
    <row r="228" ht="22.5" customHeight="1">
      <c r="A228" s="20">
        <v>2019.0</v>
      </c>
      <c r="B228" s="20" t="s">
        <v>21</v>
      </c>
      <c r="C228" s="71" t="s">
        <v>528</v>
      </c>
      <c r="D228" s="20">
        <v>2.8324538E7</v>
      </c>
      <c r="E228" s="20" t="s">
        <v>529</v>
      </c>
      <c r="F228" s="20">
        <v>4.241630968E9</v>
      </c>
      <c r="G228" s="90">
        <v>43673.0</v>
      </c>
      <c r="H228" s="20" t="s">
        <v>183</v>
      </c>
      <c r="I228" s="20"/>
      <c r="J228" s="90">
        <v>43679.0</v>
      </c>
      <c r="K228" s="90">
        <v>43703.0</v>
      </c>
      <c r="L228" s="20"/>
      <c r="M228" s="38" t="s">
        <v>264</v>
      </c>
    </row>
    <row r="229" ht="22.5" customHeight="1">
      <c r="A229" s="20">
        <v>2019.0</v>
      </c>
      <c r="B229" s="20" t="s">
        <v>21</v>
      </c>
      <c r="C229" s="71" t="s">
        <v>530</v>
      </c>
      <c r="D229" s="20">
        <v>2.8312902E7</v>
      </c>
      <c r="E229" s="20" t="s">
        <v>531</v>
      </c>
      <c r="F229" s="20">
        <v>4.122107759E9</v>
      </c>
      <c r="G229" s="90">
        <v>43673.0</v>
      </c>
      <c r="H229" s="20" t="s">
        <v>183</v>
      </c>
      <c r="I229" s="20"/>
      <c r="J229" s="90">
        <v>43683.0</v>
      </c>
      <c r="K229" s="90">
        <v>43697.0</v>
      </c>
      <c r="L229" s="20"/>
      <c r="M229" s="38" t="s">
        <v>264</v>
      </c>
    </row>
    <row r="230" ht="22.5" customHeight="1">
      <c r="A230" s="20">
        <v>2019.0</v>
      </c>
      <c r="B230" s="108" t="s">
        <v>21</v>
      </c>
      <c r="C230" s="71" t="s">
        <v>532</v>
      </c>
      <c r="D230" s="119">
        <v>2.9686806E7</v>
      </c>
      <c r="E230" s="112" t="s">
        <v>533</v>
      </c>
      <c r="F230" s="20">
        <v>4.241315975E9</v>
      </c>
      <c r="G230" s="90">
        <v>43631.0</v>
      </c>
      <c r="H230" s="20" t="s">
        <v>68</v>
      </c>
      <c r="I230" s="20"/>
      <c r="J230" s="90">
        <v>43642.0</v>
      </c>
      <c r="K230" s="90">
        <v>43678.0</v>
      </c>
      <c r="L230" s="20"/>
      <c r="M230" s="38" t="s">
        <v>264</v>
      </c>
    </row>
    <row r="231" ht="22.5" customHeight="1">
      <c r="A231" s="20">
        <v>2019.0</v>
      </c>
      <c r="B231" s="108" t="s">
        <v>21</v>
      </c>
      <c r="C231" s="131" t="s">
        <v>534</v>
      </c>
      <c r="D231" s="119">
        <v>2.9686746E7</v>
      </c>
      <c r="E231" s="20" t="s">
        <v>535</v>
      </c>
      <c r="F231" s="20">
        <v>4.129341713E9</v>
      </c>
      <c r="G231" s="90">
        <v>43673.0</v>
      </c>
      <c r="H231" s="20" t="s">
        <v>68</v>
      </c>
      <c r="I231" s="20"/>
      <c r="J231" s="90">
        <v>43682.0</v>
      </c>
      <c r="K231" s="90">
        <v>43718.0</v>
      </c>
      <c r="L231" s="20"/>
      <c r="M231" s="38" t="s">
        <v>264</v>
      </c>
    </row>
    <row r="232" ht="22.5" customHeight="1">
      <c r="A232" s="20">
        <v>2019.0</v>
      </c>
      <c r="B232" s="108" t="s">
        <v>21</v>
      </c>
      <c r="C232" s="71" t="s">
        <v>536</v>
      </c>
      <c r="D232" s="119">
        <v>2.9689065E7</v>
      </c>
      <c r="E232" s="112" t="s">
        <v>537</v>
      </c>
      <c r="F232" s="20">
        <v>4.241582375E9</v>
      </c>
      <c r="G232" s="90">
        <v>43673.0</v>
      </c>
      <c r="H232" s="20" t="s">
        <v>68</v>
      </c>
      <c r="I232" s="20"/>
      <c r="J232" s="90">
        <v>43682.0</v>
      </c>
      <c r="K232" s="90">
        <v>43718.0</v>
      </c>
      <c r="L232" s="20"/>
      <c r="M232" s="38" t="s">
        <v>264</v>
      </c>
    </row>
    <row r="233" ht="22.5" customHeight="1">
      <c r="A233" s="20">
        <v>2019.0</v>
      </c>
      <c r="B233" s="20" t="s">
        <v>21</v>
      </c>
      <c r="C233" s="71" t="s">
        <v>538</v>
      </c>
      <c r="D233" s="119">
        <v>2.9947633E7</v>
      </c>
      <c r="E233" s="112" t="s">
        <v>539</v>
      </c>
      <c r="F233" s="20">
        <v>4.265190606E9</v>
      </c>
      <c r="G233" s="90">
        <v>43757.0</v>
      </c>
      <c r="H233" s="20" t="s">
        <v>68</v>
      </c>
      <c r="I233" s="20"/>
      <c r="J233" s="90">
        <v>43790.0</v>
      </c>
      <c r="K233" s="90">
        <v>43902.0</v>
      </c>
      <c r="L233" s="20"/>
      <c r="M233" s="38" t="s">
        <v>264</v>
      </c>
    </row>
    <row r="234" ht="22.5" customHeight="1">
      <c r="A234" s="20">
        <v>2019.0</v>
      </c>
      <c r="B234" s="20" t="s">
        <v>21</v>
      </c>
      <c r="C234" s="71" t="s">
        <v>540</v>
      </c>
      <c r="D234" s="119">
        <v>2.9965457E7</v>
      </c>
      <c r="E234" s="20" t="s">
        <v>541</v>
      </c>
      <c r="F234" s="20">
        <v>4.141073084E9</v>
      </c>
      <c r="G234" s="90">
        <v>43757.0</v>
      </c>
      <c r="H234" s="20" t="s">
        <v>68</v>
      </c>
      <c r="I234" s="20"/>
      <c r="J234" s="90">
        <v>43790.0</v>
      </c>
      <c r="K234" s="90">
        <v>43888.0</v>
      </c>
      <c r="L234" s="20"/>
      <c r="M234" s="38" t="s">
        <v>264</v>
      </c>
    </row>
    <row r="235" ht="22.5" customHeight="1">
      <c r="A235" s="20">
        <v>2019.0</v>
      </c>
      <c r="B235" s="20" t="s">
        <v>21</v>
      </c>
      <c r="C235" s="71" t="s">
        <v>542</v>
      </c>
      <c r="D235" s="20">
        <v>4.142505499E9</v>
      </c>
      <c r="E235" s="20" t="s">
        <v>543</v>
      </c>
      <c r="F235" s="20">
        <v>4.142516272E9</v>
      </c>
      <c r="G235" s="90">
        <v>43757.0</v>
      </c>
      <c r="H235" s="20" t="s">
        <v>68</v>
      </c>
      <c r="I235" s="20"/>
      <c r="J235" s="90">
        <v>43796.0</v>
      </c>
      <c r="K235" s="90">
        <v>43902.0</v>
      </c>
      <c r="L235" s="20"/>
      <c r="M235" s="38" t="s">
        <v>264</v>
      </c>
    </row>
    <row r="236" ht="22.5" customHeight="1">
      <c r="A236" s="20">
        <v>2019.0</v>
      </c>
      <c r="B236" s="20" t="s">
        <v>21</v>
      </c>
      <c r="C236" s="71" t="s">
        <v>544</v>
      </c>
      <c r="D236" s="20" t="s">
        <v>545</v>
      </c>
      <c r="E236" s="20" t="s">
        <v>546</v>
      </c>
      <c r="F236" s="20">
        <v>4.141705232E9</v>
      </c>
      <c r="G236" s="90">
        <v>43776.0</v>
      </c>
      <c r="H236" s="20" t="s">
        <v>68</v>
      </c>
      <c r="I236" s="20"/>
      <c r="J236" s="90">
        <v>43815.0</v>
      </c>
      <c r="K236" s="90">
        <v>43845.0</v>
      </c>
      <c r="L236" s="20"/>
      <c r="M236" s="38" t="s">
        <v>264</v>
      </c>
    </row>
    <row r="237" ht="22.5" customHeight="1">
      <c r="A237" s="20">
        <v>2019.0</v>
      </c>
      <c r="B237" s="20" t="s">
        <v>21</v>
      </c>
      <c r="C237" s="71" t="s">
        <v>547</v>
      </c>
      <c r="D237" s="119" t="s">
        <v>548</v>
      </c>
      <c r="E237" s="20" t="s">
        <v>549</v>
      </c>
      <c r="F237" s="20">
        <v>4.12630657E9</v>
      </c>
      <c r="G237" s="90">
        <v>43776.0</v>
      </c>
      <c r="H237" s="20" t="s">
        <v>68</v>
      </c>
      <c r="I237" s="20"/>
      <c r="J237" s="90">
        <v>43815.0</v>
      </c>
      <c r="K237" s="90">
        <v>43845.0</v>
      </c>
      <c r="L237" s="20"/>
      <c r="M237" s="38" t="s">
        <v>264</v>
      </c>
    </row>
    <row r="238" ht="22.5" customHeight="1">
      <c r="A238" s="20">
        <v>2019.0</v>
      </c>
      <c r="B238" s="20" t="s">
        <v>21</v>
      </c>
      <c r="C238" s="71" t="s">
        <v>550</v>
      </c>
      <c r="D238" s="119">
        <v>3.0358316E7</v>
      </c>
      <c r="E238" s="20" t="s">
        <v>551</v>
      </c>
      <c r="F238" s="20">
        <v>4.242050555E9</v>
      </c>
      <c r="G238" s="90">
        <v>43757.0</v>
      </c>
      <c r="H238" s="20" t="s">
        <v>552</v>
      </c>
      <c r="I238" s="20"/>
      <c r="J238" s="90">
        <v>43775.0</v>
      </c>
      <c r="K238" s="90">
        <v>43899.0</v>
      </c>
      <c r="L238" s="20"/>
      <c r="M238" s="38" t="s">
        <v>264</v>
      </c>
    </row>
    <row r="239" ht="22.5" customHeight="1">
      <c r="A239" s="20">
        <v>2019.0</v>
      </c>
      <c r="B239" s="20" t="s">
        <v>21</v>
      </c>
      <c r="C239" s="71" t="s">
        <v>553</v>
      </c>
      <c r="D239" s="119">
        <v>2.9678814E7</v>
      </c>
      <c r="E239" s="20" t="s">
        <v>554</v>
      </c>
      <c r="F239" s="20">
        <v>4.143723804E9</v>
      </c>
      <c r="G239" s="90">
        <v>43757.0</v>
      </c>
      <c r="H239" s="20" t="s">
        <v>552</v>
      </c>
      <c r="I239" s="20"/>
      <c r="J239" s="90">
        <v>43780.0</v>
      </c>
      <c r="K239" s="90">
        <v>43853.0</v>
      </c>
      <c r="L239" s="20" t="s">
        <v>555</v>
      </c>
      <c r="M239" s="38" t="s">
        <v>264</v>
      </c>
    </row>
    <row r="240" ht="22.5" customHeight="1">
      <c r="A240" s="20">
        <v>2019.0</v>
      </c>
      <c r="B240" s="20" t="s">
        <v>21</v>
      </c>
      <c r="C240" s="71" t="s">
        <v>556</v>
      </c>
      <c r="D240" s="20">
        <v>3003156.0</v>
      </c>
      <c r="E240" s="20" t="s">
        <v>557</v>
      </c>
      <c r="F240" s="20" t="s">
        <v>558</v>
      </c>
      <c r="G240" s="90">
        <v>43757.0</v>
      </c>
      <c r="H240" s="20" t="s">
        <v>552</v>
      </c>
      <c r="I240" s="20"/>
      <c r="J240" s="90">
        <v>43774.0</v>
      </c>
      <c r="K240" s="90">
        <v>43860.0</v>
      </c>
      <c r="L240" s="20"/>
      <c r="M240" s="38" t="s">
        <v>264</v>
      </c>
    </row>
    <row r="241" ht="22.5" customHeight="1">
      <c r="A241" s="20">
        <v>2019.0</v>
      </c>
      <c r="B241" s="20" t="s">
        <v>21</v>
      </c>
      <c r="C241" s="71" t="s">
        <v>559</v>
      </c>
      <c r="D241" s="119">
        <v>3.033072E7</v>
      </c>
      <c r="E241" s="112" t="s">
        <v>560</v>
      </c>
      <c r="F241" s="20" t="s">
        <v>561</v>
      </c>
      <c r="G241" s="90">
        <v>43757.0</v>
      </c>
      <c r="H241" s="20" t="s">
        <v>562</v>
      </c>
      <c r="I241" s="20"/>
      <c r="J241" s="90">
        <v>43762.0</v>
      </c>
      <c r="K241" s="90">
        <v>43893.0</v>
      </c>
      <c r="L241" s="20"/>
      <c r="M241" s="38" t="s">
        <v>264</v>
      </c>
    </row>
    <row r="242" ht="22.5" customHeight="1">
      <c r="A242" s="20">
        <v>2019.0</v>
      </c>
      <c r="B242" s="20" t="s">
        <v>21</v>
      </c>
      <c r="C242" s="71" t="s">
        <v>563</v>
      </c>
      <c r="D242" s="119">
        <v>2.9631395E7</v>
      </c>
      <c r="E242" s="20" t="s">
        <v>564</v>
      </c>
      <c r="F242" s="20" t="s">
        <v>565</v>
      </c>
      <c r="G242" s="90">
        <v>43757.0</v>
      </c>
      <c r="H242" s="20" t="s">
        <v>562</v>
      </c>
      <c r="I242" s="20"/>
      <c r="J242" s="90">
        <v>43762.0</v>
      </c>
      <c r="K242" s="90">
        <v>43893.0</v>
      </c>
      <c r="L242" s="20"/>
      <c r="M242" s="38" t="s">
        <v>264</v>
      </c>
    </row>
    <row r="243" ht="22.5" customHeight="1">
      <c r="A243" s="20">
        <v>2019.0</v>
      </c>
      <c r="B243" s="20" t="s">
        <v>260</v>
      </c>
      <c r="C243" s="71" t="s">
        <v>566</v>
      </c>
      <c r="D243" s="119">
        <v>3.0032652E7</v>
      </c>
      <c r="E243" s="20" t="s">
        <v>567</v>
      </c>
      <c r="F243" s="20">
        <v>4.241200108E9</v>
      </c>
      <c r="G243" s="90">
        <v>43757.0</v>
      </c>
      <c r="H243" s="20" t="s">
        <v>562</v>
      </c>
      <c r="I243" s="20"/>
      <c r="J243" s="90">
        <v>43762.0</v>
      </c>
      <c r="K243" s="90"/>
      <c r="L243" s="20"/>
      <c r="M243" s="38" t="s">
        <v>264</v>
      </c>
    </row>
    <row r="244" ht="22.5" customHeight="1">
      <c r="A244" s="20">
        <v>2019.0</v>
      </c>
      <c r="B244" s="20" t="s">
        <v>21</v>
      </c>
      <c r="C244" s="71" t="s">
        <v>568</v>
      </c>
      <c r="D244" s="119">
        <v>2.8312976E7</v>
      </c>
      <c r="E244" s="112" t="s">
        <v>569</v>
      </c>
      <c r="F244" s="20">
        <v>4.141826934E9</v>
      </c>
      <c r="G244" s="90">
        <v>43512.0</v>
      </c>
      <c r="H244" s="20" t="s">
        <v>562</v>
      </c>
      <c r="I244" s="20"/>
      <c r="J244" s="90">
        <v>43542.0</v>
      </c>
      <c r="K244" s="90">
        <v>43615.0</v>
      </c>
      <c r="L244" s="20" t="s">
        <v>515</v>
      </c>
      <c r="M244" s="38" t="s">
        <v>264</v>
      </c>
    </row>
    <row r="245" ht="22.5" customHeight="1">
      <c r="A245" s="20">
        <v>2019.0</v>
      </c>
      <c r="B245" s="20" t="s">
        <v>21</v>
      </c>
      <c r="C245" s="71" t="s">
        <v>570</v>
      </c>
      <c r="D245" s="119">
        <v>3.1323154E7</v>
      </c>
      <c r="E245" s="20" t="s">
        <v>571</v>
      </c>
      <c r="F245" s="20">
        <v>4.267041165E9</v>
      </c>
      <c r="G245" s="90">
        <v>40470.0</v>
      </c>
      <c r="H245" s="20" t="s">
        <v>562</v>
      </c>
      <c r="I245" s="20"/>
      <c r="J245" s="90">
        <v>43777.0</v>
      </c>
      <c r="K245" s="90">
        <v>43777.0</v>
      </c>
      <c r="L245" s="20"/>
      <c r="M245" s="38" t="s">
        <v>264</v>
      </c>
    </row>
    <row r="246" ht="22.5" customHeight="1">
      <c r="A246" s="20">
        <v>2019.0</v>
      </c>
      <c r="B246" s="20" t="s">
        <v>21</v>
      </c>
      <c r="C246" s="71" t="s">
        <v>572</v>
      </c>
      <c r="D246" s="119">
        <v>3.0605529E7</v>
      </c>
      <c r="E246" s="112" t="s">
        <v>573</v>
      </c>
      <c r="F246" s="20">
        <v>4.126032791E9</v>
      </c>
      <c r="G246" s="90">
        <v>43776.0</v>
      </c>
      <c r="H246" s="20" t="s">
        <v>562</v>
      </c>
      <c r="I246" s="20"/>
      <c r="J246" s="90">
        <v>43803.0</v>
      </c>
      <c r="K246" s="90">
        <v>43803.0</v>
      </c>
      <c r="L246" s="20"/>
      <c r="M246" s="38" t="s">
        <v>264</v>
      </c>
    </row>
    <row r="247" ht="22.5" customHeight="1">
      <c r="A247" s="20">
        <v>2019.0</v>
      </c>
      <c r="B247" s="20" t="s">
        <v>260</v>
      </c>
      <c r="C247" s="71" t="s">
        <v>574</v>
      </c>
      <c r="D247" s="119">
        <v>3.1101762E7</v>
      </c>
      <c r="E247" s="112" t="s">
        <v>575</v>
      </c>
      <c r="F247" s="20">
        <v>4.14480538E9</v>
      </c>
      <c r="G247" s="90">
        <v>43757.0</v>
      </c>
      <c r="H247" s="20" t="s">
        <v>562</v>
      </c>
      <c r="I247" s="20"/>
      <c r="J247" s="90">
        <v>43809.0</v>
      </c>
      <c r="K247" s="20"/>
      <c r="L247" s="20"/>
      <c r="M247" s="38" t="s">
        <v>264</v>
      </c>
    </row>
    <row r="248" ht="22.5" customHeight="1">
      <c r="A248" s="20">
        <v>2019.0</v>
      </c>
      <c r="B248" s="20" t="s">
        <v>21</v>
      </c>
      <c r="C248" s="71" t="s">
        <v>576</v>
      </c>
      <c r="D248" s="119">
        <v>2.9969995E7</v>
      </c>
      <c r="E248" s="20" t="s">
        <v>577</v>
      </c>
      <c r="F248" s="20">
        <v>4.142428076E9</v>
      </c>
      <c r="G248" s="90">
        <v>43757.0</v>
      </c>
      <c r="H248" s="20" t="s">
        <v>562</v>
      </c>
      <c r="I248" s="20"/>
      <c r="J248" s="90">
        <v>43783.0</v>
      </c>
      <c r="K248" s="90">
        <v>43847.0</v>
      </c>
      <c r="L248" s="20" t="s">
        <v>578</v>
      </c>
      <c r="M248" s="38" t="s">
        <v>264</v>
      </c>
    </row>
    <row r="249" ht="22.5" customHeight="1">
      <c r="A249" s="20">
        <v>2019.0</v>
      </c>
      <c r="B249" s="20" t="s">
        <v>21</v>
      </c>
      <c r="C249" s="71" t="s">
        <v>579</v>
      </c>
      <c r="D249" s="119">
        <v>2.9611108E7</v>
      </c>
      <c r="E249" s="112" t="s">
        <v>580</v>
      </c>
      <c r="F249" s="20">
        <v>4.241325922E9</v>
      </c>
      <c r="G249" s="90">
        <v>43512.0</v>
      </c>
      <c r="H249" s="20" t="s">
        <v>562</v>
      </c>
      <c r="I249" s="20"/>
      <c r="J249" s="90">
        <v>43542.0</v>
      </c>
      <c r="K249" s="90">
        <v>43615.0</v>
      </c>
      <c r="L249" s="20" t="s">
        <v>515</v>
      </c>
      <c r="M249" s="38" t="s">
        <v>264</v>
      </c>
    </row>
    <row r="250" ht="22.5" customHeight="1">
      <c r="A250" s="20">
        <v>2019.0</v>
      </c>
      <c r="B250" s="20" t="s">
        <v>21</v>
      </c>
      <c r="C250" s="71" t="s">
        <v>581</v>
      </c>
      <c r="D250" s="119">
        <v>3.1478868E7</v>
      </c>
      <c r="E250" s="112" t="s">
        <v>582</v>
      </c>
      <c r="F250" s="20">
        <v>4.143073037E9</v>
      </c>
      <c r="G250" s="90">
        <v>43757.0</v>
      </c>
      <c r="H250" s="20" t="s">
        <v>562</v>
      </c>
      <c r="I250" s="20"/>
      <c r="J250" s="90">
        <v>43777.0</v>
      </c>
      <c r="K250" s="90">
        <v>43901.0</v>
      </c>
      <c r="L250" s="20"/>
      <c r="M250" s="38" t="s">
        <v>264</v>
      </c>
    </row>
    <row r="251" ht="22.5" customHeight="1">
      <c r="A251" s="113">
        <v>2019.0</v>
      </c>
      <c r="B251" s="113" t="s">
        <v>300</v>
      </c>
      <c r="C251" s="127" t="s">
        <v>583</v>
      </c>
      <c r="D251" s="132">
        <v>3.110097E7</v>
      </c>
      <c r="E251" s="133" t="s">
        <v>584</v>
      </c>
      <c r="F251" s="113">
        <v>4.241662315E9</v>
      </c>
      <c r="G251" s="134">
        <v>43776.0</v>
      </c>
      <c r="H251" s="113" t="s">
        <v>562</v>
      </c>
      <c r="I251" s="113"/>
      <c r="J251" s="134">
        <v>43801.0</v>
      </c>
      <c r="K251" s="113"/>
      <c r="L251" s="113" t="s">
        <v>585</v>
      </c>
      <c r="M251" s="116" t="s">
        <v>586</v>
      </c>
      <c r="N251" s="117"/>
      <c r="O251" s="117"/>
      <c r="P251" s="117"/>
      <c r="Q251" s="117"/>
      <c r="R251" s="117"/>
      <c r="S251" s="117"/>
      <c r="T251" s="117"/>
      <c r="U251" s="117"/>
      <c r="V251" s="117"/>
      <c r="W251" s="117"/>
      <c r="X251" s="117"/>
      <c r="Y251" s="117"/>
      <c r="Z251" s="117"/>
    </row>
    <row r="252" ht="22.5" customHeight="1">
      <c r="A252" s="20">
        <v>2019.0</v>
      </c>
      <c r="B252" s="20" t="s">
        <v>21</v>
      </c>
      <c r="C252" s="71" t="s">
        <v>587</v>
      </c>
      <c r="D252" s="119">
        <v>3.0497673E7</v>
      </c>
      <c r="E252" s="112" t="s">
        <v>588</v>
      </c>
      <c r="F252" s="20">
        <v>4.265122432E9</v>
      </c>
      <c r="G252" s="90">
        <v>43395.0</v>
      </c>
      <c r="H252" s="20" t="s">
        <v>331</v>
      </c>
      <c r="I252" s="20"/>
      <c r="J252" s="90">
        <v>43503.0</v>
      </c>
      <c r="K252" s="90">
        <v>43684.0</v>
      </c>
      <c r="L252" s="20"/>
      <c r="M252" s="38" t="s">
        <v>264</v>
      </c>
    </row>
    <row r="253" ht="22.5" customHeight="1">
      <c r="A253" s="20">
        <v>2019.0</v>
      </c>
      <c r="B253" s="20" t="s">
        <v>21</v>
      </c>
      <c r="C253" s="71" t="s">
        <v>589</v>
      </c>
      <c r="D253" s="119">
        <v>3.0098148E7</v>
      </c>
      <c r="E253" s="20" t="s">
        <v>590</v>
      </c>
      <c r="F253" s="20">
        <v>4.128240404E9</v>
      </c>
      <c r="G253" s="90">
        <v>43728.0</v>
      </c>
      <c r="H253" s="20" t="s">
        <v>334</v>
      </c>
      <c r="I253" s="20"/>
      <c r="J253" s="90">
        <v>43735.0</v>
      </c>
      <c r="K253" s="90">
        <v>43882.0</v>
      </c>
      <c r="L253" s="20" t="s">
        <v>591</v>
      </c>
      <c r="M253" s="38" t="s">
        <v>264</v>
      </c>
    </row>
    <row r="254" ht="22.5" customHeight="1">
      <c r="A254" s="20">
        <v>2019.0</v>
      </c>
      <c r="B254" s="20" t="s">
        <v>300</v>
      </c>
      <c r="C254" s="71" t="s">
        <v>592</v>
      </c>
      <c r="D254" s="119">
        <v>3.03305E7</v>
      </c>
      <c r="E254" s="20" t="s">
        <v>593</v>
      </c>
      <c r="F254" s="20" t="s">
        <v>594</v>
      </c>
      <c r="G254" s="90">
        <v>43776.0</v>
      </c>
      <c r="H254" s="20" t="s">
        <v>334</v>
      </c>
      <c r="I254" s="20"/>
      <c r="J254" s="90">
        <v>43796.0</v>
      </c>
      <c r="K254" s="90">
        <v>43819.0</v>
      </c>
      <c r="L254" s="20"/>
      <c r="M254" s="38" t="s">
        <v>264</v>
      </c>
    </row>
    <row r="255" ht="22.5" customHeight="1">
      <c r="A255" s="20">
        <v>2019.0</v>
      </c>
      <c r="B255" s="20" t="s">
        <v>21</v>
      </c>
      <c r="C255" s="71" t="s">
        <v>595</v>
      </c>
      <c r="D255" s="119">
        <v>3.0138034E7</v>
      </c>
      <c r="E255" s="20" t="s">
        <v>596</v>
      </c>
      <c r="F255" s="20">
        <v>4.269104501E9</v>
      </c>
      <c r="G255" s="90">
        <v>43776.0</v>
      </c>
      <c r="H255" s="20" t="s">
        <v>334</v>
      </c>
      <c r="I255" s="20"/>
      <c r="J255" s="90">
        <v>43796.0</v>
      </c>
      <c r="K255" s="90">
        <v>43903.0</v>
      </c>
      <c r="L255" s="20"/>
      <c r="M255" s="38" t="s">
        <v>264</v>
      </c>
    </row>
    <row r="256" ht="22.5" customHeight="1">
      <c r="A256" s="113">
        <v>2019.0</v>
      </c>
      <c r="B256" s="113" t="s">
        <v>597</v>
      </c>
      <c r="C256" s="127" t="s">
        <v>598</v>
      </c>
      <c r="D256" s="132">
        <v>3.0370614E7</v>
      </c>
      <c r="E256" s="133" t="s">
        <v>599</v>
      </c>
      <c r="F256" s="113" t="s">
        <v>600</v>
      </c>
      <c r="G256" s="134">
        <v>43776.0</v>
      </c>
      <c r="H256" s="113" t="s">
        <v>334</v>
      </c>
      <c r="I256" s="113"/>
      <c r="J256" s="113"/>
      <c r="K256" s="113"/>
      <c r="L256" s="113"/>
      <c r="M256" s="116" t="s">
        <v>586</v>
      </c>
      <c r="N256" s="117"/>
      <c r="O256" s="117"/>
      <c r="P256" s="117"/>
      <c r="Q256" s="117"/>
      <c r="R256" s="117"/>
      <c r="S256" s="117"/>
      <c r="T256" s="117"/>
      <c r="U256" s="117"/>
      <c r="V256" s="117"/>
      <c r="W256" s="117"/>
      <c r="X256" s="117"/>
      <c r="Y256" s="117"/>
      <c r="Z256" s="117"/>
    </row>
    <row r="257" ht="22.5" customHeight="1">
      <c r="A257" s="20">
        <v>2019.0</v>
      </c>
      <c r="B257" s="20" t="s">
        <v>495</v>
      </c>
      <c r="C257" s="71" t="s">
        <v>601</v>
      </c>
      <c r="D257" s="119">
        <v>3.0329979E7</v>
      </c>
      <c r="E257" s="20" t="s">
        <v>602</v>
      </c>
      <c r="F257" s="20">
        <v>4.123380548E9</v>
      </c>
      <c r="G257" s="90">
        <v>43776.0</v>
      </c>
      <c r="H257" s="20" t="s">
        <v>334</v>
      </c>
      <c r="I257" s="20"/>
      <c r="J257" s="90">
        <v>43801.0</v>
      </c>
      <c r="K257" s="90">
        <v>43819.0</v>
      </c>
      <c r="L257" s="20" t="s">
        <v>603</v>
      </c>
      <c r="M257" s="38" t="s">
        <v>264</v>
      </c>
    </row>
    <row r="258" ht="22.5" customHeight="1">
      <c r="A258" s="113">
        <v>2019.0</v>
      </c>
      <c r="B258" s="113" t="s">
        <v>597</v>
      </c>
      <c r="C258" s="127" t="s">
        <v>604</v>
      </c>
      <c r="D258" s="132">
        <v>3.0719993E7</v>
      </c>
      <c r="E258" s="135" t="s">
        <v>605</v>
      </c>
      <c r="F258" s="113">
        <v>4.241334917E9</v>
      </c>
      <c r="G258" s="134">
        <v>43776.0</v>
      </c>
      <c r="H258" s="113" t="s">
        <v>334</v>
      </c>
      <c r="I258" s="113"/>
      <c r="J258" s="113"/>
      <c r="K258" s="113"/>
      <c r="L258" s="113"/>
      <c r="M258" s="116" t="s">
        <v>606</v>
      </c>
      <c r="N258" s="117"/>
      <c r="O258" s="117"/>
      <c r="P258" s="117"/>
      <c r="Q258" s="117"/>
      <c r="R258" s="117"/>
      <c r="S258" s="117"/>
      <c r="T258" s="117"/>
      <c r="U258" s="117"/>
      <c r="V258" s="117"/>
      <c r="W258" s="117"/>
      <c r="X258" s="117"/>
      <c r="Y258" s="117"/>
      <c r="Z258" s="117"/>
    </row>
    <row r="259" ht="22.5" customHeight="1">
      <c r="A259" s="113">
        <v>2019.0</v>
      </c>
      <c r="B259" s="113" t="s">
        <v>597</v>
      </c>
      <c r="C259" s="127" t="s">
        <v>607</v>
      </c>
      <c r="D259" s="132">
        <v>3.0579866E7</v>
      </c>
      <c r="E259" s="113" t="s">
        <v>608</v>
      </c>
      <c r="F259" s="113">
        <v>4.242601412E9</v>
      </c>
      <c r="G259" s="134">
        <v>43776.0</v>
      </c>
      <c r="H259" s="113" t="s">
        <v>334</v>
      </c>
      <c r="I259" s="113"/>
      <c r="J259" s="113"/>
      <c r="K259" s="113"/>
      <c r="L259" s="113"/>
      <c r="M259" s="116" t="s">
        <v>609</v>
      </c>
      <c r="N259" s="117"/>
      <c r="O259" s="117"/>
      <c r="P259" s="117"/>
      <c r="Q259" s="117"/>
      <c r="R259" s="117"/>
      <c r="S259" s="117"/>
      <c r="T259" s="117"/>
      <c r="U259" s="117"/>
      <c r="V259" s="117"/>
      <c r="W259" s="117"/>
      <c r="X259" s="117"/>
      <c r="Y259" s="117"/>
      <c r="Z259" s="117"/>
    </row>
    <row r="260" ht="22.5" customHeight="1">
      <c r="A260" s="20">
        <v>2019.0</v>
      </c>
      <c r="B260" s="20" t="s">
        <v>21</v>
      </c>
      <c r="C260" s="71" t="s">
        <v>610</v>
      </c>
      <c r="D260" s="119">
        <v>3.0030668E7</v>
      </c>
      <c r="E260" s="20" t="s">
        <v>611</v>
      </c>
      <c r="F260" s="20">
        <v>4.16609943E9</v>
      </c>
      <c r="G260" s="90">
        <v>43776.0</v>
      </c>
      <c r="H260" s="20" t="s">
        <v>334</v>
      </c>
      <c r="I260" s="20"/>
      <c r="J260" s="90">
        <v>43818.0</v>
      </c>
      <c r="K260" s="90">
        <v>43971.0</v>
      </c>
      <c r="L260" s="20"/>
      <c r="M260" s="38" t="s">
        <v>264</v>
      </c>
    </row>
    <row r="261" ht="22.5" customHeight="1">
      <c r="A261" s="20">
        <v>2019.0</v>
      </c>
      <c r="B261" s="20" t="s">
        <v>21</v>
      </c>
      <c r="C261" s="71" t="s">
        <v>612</v>
      </c>
      <c r="D261" s="119">
        <v>3.0520219E7</v>
      </c>
      <c r="E261" s="20" t="s">
        <v>613</v>
      </c>
      <c r="F261" s="20">
        <v>4.263264282E9</v>
      </c>
      <c r="G261" s="90">
        <v>43776.0</v>
      </c>
      <c r="H261" s="20" t="s">
        <v>334</v>
      </c>
      <c r="I261" s="20"/>
      <c r="J261" s="90">
        <v>43822.0</v>
      </c>
      <c r="K261" s="90">
        <v>43890.0</v>
      </c>
      <c r="L261" s="20"/>
      <c r="M261" s="38" t="s">
        <v>264</v>
      </c>
    </row>
    <row r="262" ht="22.5" customHeight="1">
      <c r="A262" s="20">
        <v>2019.0</v>
      </c>
      <c r="B262" s="20" t="s">
        <v>21</v>
      </c>
      <c r="C262" s="71" t="s">
        <v>614</v>
      </c>
      <c r="D262" s="119">
        <v>3.0358647E7</v>
      </c>
      <c r="E262" s="112" t="s">
        <v>615</v>
      </c>
      <c r="F262" s="20">
        <v>4.142937883E9</v>
      </c>
      <c r="G262" s="90">
        <v>43381.0</v>
      </c>
      <c r="H262" s="20" t="s">
        <v>234</v>
      </c>
      <c r="I262" s="20"/>
      <c r="J262" s="90">
        <v>43405.0</v>
      </c>
      <c r="K262" s="90">
        <v>43622.0</v>
      </c>
      <c r="L262" s="20" t="s">
        <v>616</v>
      </c>
      <c r="M262" s="38" t="s">
        <v>264</v>
      </c>
    </row>
    <row r="263" ht="22.5" customHeight="1">
      <c r="A263" s="20">
        <v>2019.0</v>
      </c>
      <c r="B263" s="20" t="s">
        <v>21</v>
      </c>
      <c r="C263" s="71" t="s">
        <v>617</v>
      </c>
      <c r="D263" s="119">
        <v>3.033079E7</v>
      </c>
      <c r="E263" s="112" t="s">
        <v>618</v>
      </c>
      <c r="F263" s="20">
        <v>4.129173482E9</v>
      </c>
      <c r="G263" s="90">
        <v>43381.0</v>
      </c>
      <c r="H263" s="20" t="s">
        <v>234</v>
      </c>
      <c r="I263" s="20"/>
      <c r="J263" s="90">
        <v>43419.0</v>
      </c>
      <c r="K263" s="90">
        <v>43615.0</v>
      </c>
      <c r="L263" s="20"/>
      <c r="M263" s="38" t="s">
        <v>264</v>
      </c>
    </row>
    <row r="264" ht="22.5" customHeight="1">
      <c r="A264" s="20">
        <v>2019.0</v>
      </c>
      <c r="B264" s="20" t="s">
        <v>21</v>
      </c>
      <c r="C264" s="71" t="s">
        <v>619</v>
      </c>
      <c r="D264" s="119">
        <v>3.0395022E7</v>
      </c>
      <c r="E264" s="20" t="s">
        <v>620</v>
      </c>
      <c r="F264" s="20">
        <v>4.142569149E9</v>
      </c>
      <c r="G264" s="90">
        <v>43381.0</v>
      </c>
      <c r="H264" s="20" t="s">
        <v>234</v>
      </c>
      <c r="I264" s="20"/>
      <c r="J264" s="90">
        <v>43403.0</v>
      </c>
      <c r="K264" s="90">
        <v>43622.0</v>
      </c>
      <c r="L264" s="20" t="s">
        <v>616</v>
      </c>
      <c r="M264" s="38" t="s">
        <v>264</v>
      </c>
    </row>
    <row r="265" ht="22.5" customHeight="1">
      <c r="A265" s="20">
        <v>2019.0</v>
      </c>
      <c r="B265" s="20" t="s">
        <v>21</v>
      </c>
      <c r="C265" s="71" t="s">
        <v>621</v>
      </c>
      <c r="D265" s="119">
        <v>3.1423879E7</v>
      </c>
      <c r="E265" s="112" t="s">
        <v>622</v>
      </c>
      <c r="F265" s="20">
        <v>4.242782949E9</v>
      </c>
      <c r="G265" s="90">
        <v>43381.0</v>
      </c>
      <c r="H265" s="20" t="s">
        <v>234</v>
      </c>
      <c r="I265" s="20"/>
      <c r="J265" s="90">
        <v>43419.0</v>
      </c>
      <c r="K265" s="90">
        <v>43616.0</v>
      </c>
      <c r="L265" s="20"/>
      <c r="M265" s="38" t="s">
        <v>264</v>
      </c>
    </row>
    <row r="266" ht="22.5" customHeight="1">
      <c r="A266" s="20">
        <v>2019.0</v>
      </c>
      <c r="B266" s="20" t="s">
        <v>21</v>
      </c>
      <c r="C266" s="71" t="s">
        <v>623</v>
      </c>
      <c r="D266" s="119">
        <v>3.0613439E7</v>
      </c>
      <c r="E266" s="112" t="s">
        <v>624</v>
      </c>
      <c r="F266" s="20">
        <v>4.120988244E9</v>
      </c>
      <c r="G266" s="90">
        <v>43381.0</v>
      </c>
      <c r="H266" s="20" t="s">
        <v>234</v>
      </c>
      <c r="I266" s="20"/>
      <c r="J266" s="90">
        <v>43403.0</v>
      </c>
      <c r="K266" s="90">
        <v>43622.0</v>
      </c>
      <c r="L266" s="20" t="s">
        <v>616</v>
      </c>
      <c r="M266" s="38" t="s">
        <v>264</v>
      </c>
    </row>
    <row r="267" ht="22.5" customHeight="1">
      <c r="A267" s="20">
        <v>2019.0</v>
      </c>
      <c r="B267" s="20" t="s">
        <v>21</v>
      </c>
      <c r="C267" s="71" t="s">
        <v>625</v>
      </c>
      <c r="D267" s="119">
        <v>3.0225288E7</v>
      </c>
      <c r="E267" s="112" t="s">
        <v>626</v>
      </c>
      <c r="F267" s="20">
        <v>4.242420489E9</v>
      </c>
      <c r="G267" s="90">
        <v>43381.0</v>
      </c>
      <c r="H267" s="20" t="s">
        <v>234</v>
      </c>
      <c r="I267" s="20"/>
      <c r="J267" s="90">
        <v>43405.0</v>
      </c>
      <c r="K267" s="90">
        <v>43622.0</v>
      </c>
      <c r="L267" s="20" t="s">
        <v>616</v>
      </c>
      <c r="M267" s="38" t="s">
        <v>264</v>
      </c>
    </row>
    <row r="268" ht="22.5" customHeight="1">
      <c r="A268" s="113">
        <v>2019.0</v>
      </c>
      <c r="B268" s="113" t="s">
        <v>627</v>
      </c>
      <c r="C268" s="127" t="s">
        <v>628</v>
      </c>
      <c r="D268" s="132">
        <v>3.0715386E7</v>
      </c>
      <c r="E268" s="113" t="s">
        <v>629</v>
      </c>
      <c r="F268" s="113">
        <v>4.241234717E9</v>
      </c>
      <c r="G268" s="134">
        <v>43757.0</v>
      </c>
      <c r="H268" s="135" t="s">
        <v>630</v>
      </c>
      <c r="I268" s="113"/>
      <c r="J268" s="113"/>
      <c r="K268" s="113"/>
      <c r="L268" s="113"/>
      <c r="M268" s="116" t="s">
        <v>586</v>
      </c>
      <c r="N268" s="117"/>
      <c r="O268" s="117"/>
      <c r="P268" s="117"/>
      <c r="Q268" s="117"/>
      <c r="R268" s="117"/>
      <c r="S268" s="117"/>
      <c r="T268" s="117"/>
      <c r="U268" s="117"/>
      <c r="V268" s="117"/>
      <c r="W268" s="117"/>
      <c r="X268" s="117"/>
      <c r="Y268" s="117"/>
      <c r="Z268" s="117"/>
    </row>
    <row r="269" ht="22.5" customHeight="1">
      <c r="A269" s="113">
        <v>2019.0</v>
      </c>
      <c r="B269" s="113" t="s">
        <v>627</v>
      </c>
      <c r="C269" s="127" t="s">
        <v>631</v>
      </c>
      <c r="D269" s="132">
        <v>3.1031988E7</v>
      </c>
      <c r="E269" s="133" t="s">
        <v>632</v>
      </c>
      <c r="F269" s="113" t="s">
        <v>633</v>
      </c>
      <c r="G269" s="134">
        <v>43757.0</v>
      </c>
      <c r="H269" s="135" t="s">
        <v>630</v>
      </c>
      <c r="I269" s="113"/>
      <c r="J269" s="113"/>
      <c r="K269" s="113"/>
      <c r="L269" s="113"/>
      <c r="M269" s="116" t="s">
        <v>586</v>
      </c>
      <c r="N269" s="117"/>
      <c r="O269" s="117"/>
      <c r="P269" s="117"/>
      <c r="Q269" s="117"/>
      <c r="R269" s="117"/>
      <c r="S269" s="117"/>
      <c r="T269" s="117"/>
      <c r="U269" s="117"/>
      <c r="V269" s="117"/>
      <c r="W269" s="117"/>
      <c r="X269" s="117"/>
      <c r="Y269" s="117"/>
      <c r="Z269" s="117"/>
    </row>
    <row r="270" ht="22.5" customHeight="1">
      <c r="A270" s="20">
        <v>2019.0</v>
      </c>
      <c r="B270" s="20" t="s">
        <v>21</v>
      </c>
      <c r="C270" s="71" t="s">
        <v>634</v>
      </c>
      <c r="D270" s="20">
        <v>2.730206E7</v>
      </c>
      <c r="E270" s="112" t="s">
        <v>635</v>
      </c>
      <c r="F270" s="20">
        <v>4.142887901E9</v>
      </c>
      <c r="G270" s="90">
        <v>43614.0</v>
      </c>
      <c r="H270" s="20" t="s">
        <v>636</v>
      </c>
      <c r="I270" s="20"/>
      <c r="J270" s="90">
        <v>43652.0</v>
      </c>
      <c r="K270" s="90">
        <v>43722.0</v>
      </c>
      <c r="L270" s="20" t="s">
        <v>637</v>
      </c>
      <c r="M270" s="38" t="s">
        <v>264</v>
      </c>
    </row>
    <row r="271" ht="22.5" customHeight="1">
      <c r="A271" s="113">
        <v>2019.0</v>
      </c>
      <c r="B271" s="113" t="s">
        <v>300</v>
      </c>
      <c r="C271" s="127" t="s">
        <v>638</v>
      </c>
      <c r="D271" s="132">
        <v>2.9565826E7</v>
      </c>
      <c r="E271" s="113" t="s">
        <v>639</v>
      </c>
      <c r="F271" s="113"/>
      <c r="G271" s="134">
        <v>43423.0</v>
      </c>
      <c r="H271" s="113" t="s">
        <v>341</v>
      </c>
      <c r="I271" s="113"/>
      <c r="J271" s="134">
        <v>43453.0</v>
      </c>
      <c r="K271" s="113"/>
      <c r="L271" s="113" t="s">
        <v>640</v>
      </c>
      <c r="M271" s="116" t="s">
        <v>606</v>
      </c>
      <c r="N271" s="117"/>
      <c r="O271" s="117"/>
      <c r="P271" s="117"/>
      <c r="Q271" s="117"/>
      <c r="R271" s="117"/>
      <c r="S271" s="117"/>
      <c r="T271" s="117"/>
      <c r="U271" s="117"/>
      <c r="V271" s="117"/>
      <c r="W271" s="117"/>
      <c r="X271" s="117"/>
      <c r="Y271" s="117"/>
      <c r="Z271" s="117"/>
    </row>
    <row r="272" ht="22.5" customHeight="1">
      <c r="A272" s="20">
        <v>2019.0</v>
      </c>
      <c r="B272" s="20" t="s">
        <v>21</v>
      </c>
      <c r="C272" s="71" t="s">
        <v>641</v>
      </c>
      <c r="D272" s="20">
        <v>2.8424311E7</v>
      </c>
      <c r="E272" s="112" t="s">
        <v>642</v>
      </c>
      <c r="F272" s="20">
        <v>4.143568025E9</v>
      </c>
      <c r="G272" s="90">
        <v>43440.0</v>
      </c>
      <c r="H272" s="20" t="s">
        <v>341</v>
      </c>
      <c r="I272" s="20"/>
      <c r="J272" s="90">
        <v>43508.0</v>
      </c>
      <c r="K272" s="90">
        <v>43685.0</v>
      </c>
      <c r="L272" s="20"/>
      <c r="M272" s="38" t="s">
        <v>264</v>
      </c>
    </row>
    <row r="273" ht="22.5" customHeight="1">
      <c r="A273" s="20">
        <v>2019.0</v>
      </c>
      <c r="B273" s="20" t="s">
        <v>21</v>
      </c>
      <c r="C273" s="71" t="s">
        <v>643</v>
      </c>
      <c r="D273" s="119">
        <v>3.0033427E7</v>
      </c>
      <c r="E273" s="20" t="s">
        <v>644</v>
      </c>
      <c r="F273" s="20">
        <v>2.124820751E9</v>
      </c>
      <c r="G273" s="90">
        <v>43776.0</v>
      </c>
      <c r="H273" s="20" t="s">
        <v>243</v>
      </c>
      <c r="I273" s="20"/>
      <c r="J273" s="90">
        <v>43794.0</v>
      </c>
      <c r="K273" s="90">
        <v>43861.0</v>
      </c>
      <c r="L273" s="20"/>
      <c r="M273" s="38" t="s">
        <v>264</v>
      </c>
    </row>
    <row r="274" ht="22.5" customHeight="1">
      <c r="A274" s="113">
        <v>2019.0</v>
      </c>
      <c r="B274" s="113" t="s">
        <v>627</v>
      </c>
      <c r="C274" s="127" t="s">
        <v>645</v>
      </c>
      <c r="D274" s="132">
        <v>2.9992487E7</v>
      </c>
      <c r="E274" s="133" t="s">
        <v>646</v>
      </c>
      <c r="F274" s="113">
        <v>4.241339309E9</v>
      </c>
      <c r="G274" s="134">
        <v>43776.0</v>
      </c>
      <c r="H274" s="113" t="s">
        <v>243</v>
      </c>
      <c r="I274" s="113"/>
      <c r="J274" s="113"/>
      <c r="K274" s="113"/>
      <c r="L274" s="113"/>
      <c r="M274" s="116" t="s">
        <v>586</v>
      </c>
      <c r="N274" s="117"/>
      <c r="O274" s="117"/>
      <c r="P274" s="117"/>
      <c r="Q274" s="117"/>
      <c r="R274" s="117"/>
      <c r="S274" s="117"/>
      <c r="T274" s="117"/>
      <c r="U274" s="117"/>
      <c r="V274" s="117"/>
      <c r="W274" s="117"/>
      <c r="X274" s="117"/>
      <c r="Y274" s="117"/>
      <c r="Z274" s="117"/>
    </row>
    <row r="275" ht="22.5" customHeight="1">
      <c r="A275" s="20">
        <v>2019.0</v>
      </c>
      <c r="B275" s="20" t="s">
        <v>21</v>
      </c>
      <c r="C275" s="71" t="s">
        <v>647</v>
      </c>
      <c r="D275" s="20">
        <v>3.0030309E7</v>
      </c>
      <c r="E275" s="20" t="s">
        <v>648</v>
      </c>
      <c r="F275" s="20">
        <v>4.14139484E9</v>
      </c>
      <c r="G275" s="90">
        <v>43757.0</v>
      </c>
      <c r="H275" s="20" t="s">
        <v>243</v>
      </c>
      <c r="I275" s="20"/>
      <c r="J275" s="90">
        <v>43788.0</v>
      </c>
      <c r="K275" s="90">
        <v>43829.0</v>
      </c>
      <c r="L275" s="20"/>
      <c r="M275" s="38" t="s">
        <v>264</v>
      </c>
    </row>
    <row r="276" ht="22.5" customHeight="1">
      <c r="A276" s="20">
        <v>2019.0</v>
      </c>
      <c r="B276" s="20" t="s">
        <v>21</v>
      </c>
      <c r="C276" s="71" t="s">
        <v>649</v>
      </c>
      <c r="D276" s="20"/>
      <c r="E276" s="20" t="s">
        <v>650</v>
      </c>
      <c r="F276" s="20" t="s">
        <v>651</v>
      </c>
      <c r="G276" s="90">
        <v>43813.0</v>
      </c>
      <c r="H276" s="20" t="s">
        <v>243</v>
      </c>
      <c r="I276" s="20"/>
      <c r="J276" s="90">
        <v>43819.0</v>
      </c>
      <c r="K276" s="90">
        <v>43837.0</v>
      </c>
      <c r="L276" s="20"/>
      <c r="M276" s="38" t="s">
        <v>264</v>
      </c>
    </row>
    <row r="277" ht="22.5" customHeight="1">
      <c r="A277" s="20">
        <v>2019.0</v>
      </c>
      <c r="B277" s="20" t="s">
        <v>21</v>
      </c>
      <c r="C277" s="71" t="s">
        <v>652</v>
      </c>
      <c r="D277" s="119">
        <v>3.0606171E7</v>
      </c>
      <c r="E277" s="20" t="s">
        <v>653</v>
      </c>
      <c r="F277" s="20" t="s">
        <v>654</v>
      </c>
      <c r="G277" s="90">
        <v>43813.0</v>
      </c>
      <c r="H277" s="20" t="s">
        <v>243</v>
      </c>
      <c r="I277" s="20"/>
      <c r="J277" s="90">
        <v>43829.0</v>
      </c>
      <c r="K277" s="90">
        <v>43902.0</v>
      </c>
      <c r="L277" s="20"/>
      <c r="M277" s="38" t="s">
        <v>264</v>
      </c>
    </row>
    <row r="278" ht="22.5" customHeight="1">
      <c r="A278" s="113">
        <v>2019.0</v>
      </c>
      <c r="B278" s="113" t="s">
        <v>627</v>
      </c>
      <c r="C278" s="127" t="s">
        <v>655</v>
      </c>
      <c r="D278" s="132">
        <v>2.9631084E7</v>
      </c>
      <c r="E278" s="113" t="s">
        <v>656</v>
      </c>
      <c r="F278" s="113">
        <v>4.241835486E9</v>
      </c>
      <c r="G278" s="134">
        <v>43813.0</v>
      </c>
      <c r="H278" s="113" t="s">
        <v>243</v>
      </c>
      <c r="I278" s="113"/>
      <c r="J278" s="113"/>
      <c r="K278" s="113"/>
      <c r="L278" s="113"/>
      <c r="M278" s="116" t="s">
        <v>586</v>
      </c>
      <c r="N278" s="117"/>
      <c r="O278" s="117"/>
      <c r="P278" s="117"/>
      <c r="Q278" s="117"/>
      <c r="R278" s="117"/>
      <c r="S278" s="117"/>
      <c r="T278" s="117"/>
      <c r="U278" s="117"/>
      <c r="V278" s="117"/>
      <c r="W278" s="117"/>
      <c r="X278" s="117"/>
      <c r="Y278" s="117"/>
      <c r="Z278" s="117"/>
    </row>
    <row r="279" ht="22.5" customHeight="1">
      <c r="A279" s="20">
        <v>2019.0</v>
      </c>
      <c r="B279" s="20" t="s">
        <v>21</v>
      </c>
      <c r="C279" s="71" t="s">
        <v>657</v>
      </c>
      <c r="D279" s="119">
        <v>2.9686983E7</v>
      </c>
      <c r="E279" s="112" t="s">
        <v>658</v>
      </c>
      <c r="F279" s="20"/>
      <c r="G279" s="90">
        <v>43484.0</v>
      </c>
      <c r="H279" s="20" t="s">
        <v>659</v>
      </c>
      <c r="I279" s="20"/>
      <c r="J279" s="90">
        <v>43686.0</v>
      </c>
      <c r="K279" s="90">
        <v>43714.0</v>
      </c>
      <c r="L279" s="20"/>
      <c r="M279" s="38" t="s">
        <v>264</v>
      </c>
    </row>
    <row r="280" ht="22.5" customHeight="1">
      <c r="A280" s="20">
        <v>2020.0</v>
      </c>
      <c r="B280" s="20" t="s">
        <v>21</v>
      </c>
      <c r="C280" s="71" t="s">
        <v>660</v>
      </c>
      <c r="D280" s="20">
        <v>3.1365346E7</v>
      </c>
      <c r="E280" s="112" t="s">
        <v>661</v>
      </c>
      <c r="F280" s="20">
        <v>4.142404191E9</v>
      </c>
      <c r="G280" s="90">
        <v>43848.0</v>
      </c>
      <c r="H280" s="20" t="s">
        <v>662</v>
      </c>
      <c r="I280" s="20"/>
      <c r="J280" s="90">
        <v>43871.0</v>
      </c>
      <c r="K280" s="90">
        <v>43901.0</v>
      </c>
      <c r="L280" s="20" t="s">
        <v>663</v>
      </c>
      <c r="M280" s="38" t="s">
        <v>264</v>
      </c>
    </row>
    <row r="281" ht="22.5" customHeight="1">
      <c r="A281" s="113">
        <v>2020.0</v>
      </c>
      <c r="B281" s="113" t="s">
        <v>664</v>
      </c>
      <c r="C281" s="127" t="s">
        <v>665</v>
      </c>
      <c r="D281" s="113">
        <v>3.1087471E7</v>
      </c>
      <c r="E281" s="113" t="s">
        <v>666</v>
      </c>
      <c r="F281" s="113">
        <v>4.261020549E9</v>
      </c>
      <c r="G281" s="134">
        <v>43848.0</v>
      </c>
      <c r="H281" s="113" t="s">
        <v>662</v>
      </c>
      <c r="I281" s="113"/>
      <c r="J281" s="134">
        <v>43901.0</v>
      </c>
      <c r="K281" s="113"/>
      <c r="L281" s="113" t="s">
        <v>667</v>
      </c>
      <c r="M281" s="116" t="s">
        <v>606</v>
      </c>
      <c r="N281" s="117"/>
      <c r="O281" s="117"/>
      <c r="P281" s="117"/>
      <c r="Q281" s="117"/>
      <c r="R281" s="117"/>
      <c r="S281" s="117"/>
      <c r="T281" s="117"/>
      <c r="U281" s="117"/>
      <c r="V281" s="117"/>
      <c r="W281" s="117"/>
      <c r="X281" s="117"/>
      <c r="Y281" s="117"/>
      <c r="Z281" s="117"/>
    </row>
    <row r="282" ht="22.5" customHeight="1">
      <c r="A282" s="113">
        <v>2020.0</v>
      </c>
      <c r="B282" s="113" t="s">
        <v>627</v>
      </c>
      <c r="C282" s="127" t="s">
        <v>668</v>
      </c>
      <c r="D282" s="113">
        <v>2.9678287E7</v>
      </c>
      <c r="E282" s="133" t="s">
        <v>669</v>
      </c>
      <c r="F282" s="113">
        <v>4.129866876E9</v>
      </c>
      <c r="G282" s="134">
        <v>43848.0</v>
      </c>
      <c r="H282" s="135" t="s">
        <v>670</v>
      </c>
      <c r="I282" s="113"/>
      <c r="J282" s="113"/>
      <c r="K282" s="113"/>
      <c r="L282" s="113"/>
      <c r="M282" s="116" t="s">
        <v>586</v>
      </c>
      <c r="N282" s="117"/>
      <c r="O282" s="117"/>
      <c r="P282" s="117"/>
      <c r="Q282" s="117"/>
      <c r="R282" s="117"/>
      <c r="S282" s="117"/>
      <c r="T282" s="117"/>
      <c r="U282" s="117"/>
      <c r="V282" s="117"/>
      <c r="W282" s="117"/>
      <c r="X282" s="117"/>
      <c r="Y282" s="117"/>
      <c r="Z282" s="117"/>
    </row>
    <row r="283" ht="22.5" customHeight="1">
      <c r="A283" s="113">
        <v>2020.0</v>
      </c>
      <c r="B283" s="113" t="s">
        <v>627</v>
      </c>
      <c r="C283" s="127" t="s">
        <v>671</v>
      </c>
      <c r="D283" s="113">
        <v>2.9537554E7</v>
      </c>
      <c r="E283" s="113" t="s">
        <v>672</v>
      </c>
      <c r="F283" s="113">
        <v>4.242830821E9</v>
      </c>
      <c r="G283" s="134">
        <v>43848.0</v>
      </c>
      <c r="H283" s="135" t="s">
        <v>670</v>
      </c>
      <c r="I283" s="113"/>
      <c r="J283" s="113"/>
      <c r="K283" s="113"/>
      <c r="L283" s="113"/>
      <c r="M283" s="116" t="s">
        <v>586</v>
      </c>
      <c r="N283" s="117"/>
      <c r="O283" s="117"/>
      <c r="P283" s="117"/>
      <c r="Q283" s="117"/>
      <c r="R283" s="117"/>
      <c r="S283" s="117"/>
      <c r="T283" s="117"/>
      <c r="U283" s="117"/>
      <c r="V283" s="117"/>
      <c r="W283" s="117"/>
      <c r="X283" s="117"/>
      <c r="Y283" s="117"/>
      <c r="Z283" s="117"/>
    </row>
    <row r="284" ht="22.5" customHeight="1">
      <c r="A284" s="113">
        <v>2020.0</v>
      </c>
      <c r="B284" s="113" t="s">
        <v>627</v>
      </c>
      <c r="C284" s="127" t="s">
        <v>673</v>
      </c>
      <c r="D284" s="132">
        <v>2.8314787E7</v>
      </c>
      <c r="E284" s="113" t="s">
        <v>674</v>
      </c>
      <c r="F284" s="113">
        <v>4.242771866E9</v>
      </c>
      <c r="G284" s="134">
        <v>43848.0</v>
      </c>
      <c r="H284" s="135" t="s">
        <v>670</v>
      </c>
      <c r="I284" s="113"/>
      <c r="J284" s="113"/>
      <c r="K284" s="113"/>
      <c r="L284" s="113"/>
      <c r="M284" s="116" t="s">
        <v>586</v>
      </c>
      <c r="N284" s="117"/>
      <c r="O284" s="117"/>
      <c r="P284" s="117"/>
      <c r="Q284" s="117"/>
      <c r="R284" s="117"/>
      <c r="S284" s="117"/>
      <c r="T284" s="117"/>
      <c r="U284" s="117"/>
      <c r="V284" s="117"/>
      <c r="W284" s="117"/>
      <c r="X284" s="117"/>
      <c r="Y284" s="117"/>
      <c r="Z284" s="117"/>
    </row>
    <row r="285" ht="22.5" customHeight="1">
      <c r="A285" s="113">
        <v>2020.0</v>
      </c>
      <c r="B285" s="113" t="s">
        <v>627</v>
      </c>
      <c r="C285" s="127" t="s">
        <v>675</v>
      </c>
      <c r="D285" s="113">
        <v>2.9832072E7</v>
      </c>
      <c r="E285" s="113" t="s">
        <v>676</v>
      </c>
      <c r="F285" s="113">
        <v>4.141503272E9</v>
      </c>
      <c r="G285" s="134">
        <v>43848.0</v>
      </c>
      <c r="H285" s="113" t="s">
        <v>262</v>
      </c>
      <c r="I285" s="113"/>
      <c r="J285" s="113"/>
      <c r="K285" s="113"/>
      <c r="L285" s="113"/>
      <c r="M285" s="116" t="s">
        <v>586</v>
      </c>
      <c r="N285" s="117"/>
      <c r="O285" s="117"/>
      <c r="P285" s="117"/>
      <c r="Q285" s="117"/>
      <c r="R285" s="117"/>
      <c r="S285" s="117"/>
      <c r="T285" s="117"/>
      <c r="U285" s="117"/>
      <c r="V285" s="117"/>
      <c r="W285" s="117"/>
      <c r="X285" s="117"/>
      <c r="Y285" s="117"/>
      <c r="Z285" s="117"/>
    </row>
    <row r="286" ht="22.5" customHeight="1">
      <c r="A286" s="113">
        <v>2020.0</v>
      </c>
      <c r="B286" s="113" t="s">
        <v>664</v>
      </c>
      <c r="C286" s="127" t="s">
        <v>677</v>
      </c>
      <c r="D286" s="113">
        <v>2.962553E7</v>
      </c>
      <c r="E286" s="113" t="s">
        <v>678</v>
      </c>
      <c r="F286" s="113">
        <v>4.143259177E9</v>
      </c>
      <c r="G286" s="134">
        <v>43757.0</v>
      </c>
      <c r="H286" s="113" t="s">
        <v>92</v>
      </c>
      <c r="I286" s="113"/>
      <c r="J286" s="134">
        <v>43766.0</v>
      </c>
      <c r="K286" s="113"/>
      <c r="L286" s="113" t="s">
        <v>679</v>
      </c>
      <c r="M286" s="116" t="s">
        <v>606</v>
      </c>
      <c r="N286" s="117"/>
      <c r="O286" s="117"/>
      <c r="P286" s="117"/>
      <c r="Q286" s="117"/>
      <c r="R286" s="117"/>
      <c r="S286" s="117"/>
      <c r="T286" s="117"/>
      <c r="U286" s="117"/>
      <c r="V286" s="117"/>
      <c r="W286" s="117"/>
      <c r="X286" s="117"/>
      <c r="Y286" s="117"/>
      <c r="Z286" s="117"/>
    </row>
    <row r="287" ht="22.5" customHeight="1">
      <c r="A287" s="20">
        <v>2020.0</v>
      </c>
      <c r="B287" s="20" t="s">
        <v>21</v>
      </c>
      <c r="C287" s="71" t="s">
        <v>680</v>
      </c>
      <c r="D287" s="119">
        <v>2.8484551E7</v>
      </c>
      <c r="E287" s="112" t="s">
        <v>681</v>
      </c>
      <c r="F287" s="20">
        <v>4.242126229E9</v>
      </c>
      <c r="G287" s="90">
        <v>43776.0</v>
      </c>
      <c r="H287" s="20" t="s">
        <v>92</v>
      </c>
      <c r="I287" s="20"/>
      <c r="J287" s="90">
        <v>43796.0</v>
      </c>
      <c r="K287" s="90">
        <v>43901.0</v>
      </c>
      <c r="L287" s="20"/>
      <c r="M287" s="38" t="s">
        <v>264</v>
      </c>
    </row>
    <row r="288" ht="22.5" customHeight="1">
      <c r="A288" s="20">
        <v>2020.0</v>
      </c>
      <c r="B288" s="20" t="s">
        <v>21</v>
      </c>
      <c r="C288" s="71" t="s">
        <v>682</v>
      </c>
      <c r="D288" s="119">
        <v>2.9863023E7</v>
      </c>
      <c r="E288" s="112" t="s">
        <v>683</v>
      </c>
      <c r="F288" s="20">
        <v>4.127247827E9</v>
      </c>
      <c r="G288" s="90">
        <v>43813.0</v>
      </c>
      <c r="H288" s="20" t="s">
        <v>92</v>
      </c>
      <c r="I288" s="20"/>
      <c r="J288" s="90">
        <v>43819.0</v>
      </c>
      <c r="K288" s="90">
        <v>43895.0</v>
      </c>
      <c r="L288" s="20"/>
      <c r="M288" s="38" t="s">
        <v>264</v>
      </c>
    </row>
    <row r="289" ht="22.5" customHeight="1">
      <c r="A289" s="20">
        <v>2020.0</v>
      </c>
      <c r="B289" s="108" t="s">
        <v>21</v>
      </c>
      <c r="C289" s="71" t="s">
        <v>684</v>
      </c>
      <c r="D289" s="119">
        <v>3.0679534E7</v>
      </c>
      <c r="E289" s="20" t="s">
        <v>685</v>
      </c>
      <c r="F289" s="20" t="s">
        <v>686</v>
      </c>
      <c r="G289" s="90">
        <v>43813.0</v>
      </c>
      <c r="H289" s="20" t="s">
        <v>162</v>
      </c>
      <c r="I289" s="20"/>
      <c r="J289" s="90">
        <v>43844.0</v>
      </c>
      <c r="K289" s="90">
        <v>43895.0</v>
      </c>
      <c r="L289" s="20"/>
      <c r="M289" s="38" t="s">
        <v>264</v>
      </c>
    </row>
    <row r="290" ht="22.5" customHeight="1">
      <c r="A290" s="20">
        <v>2020.0</v>
      </c>
      <c r="B290" s="108" t="s">
        <v>664</v>
      </c>
      <c r="C290" s="71" t="s">
        <v>687</v>
      </c>
      <c r="D290" s="119">
        <v>2.9863901E7</v>
      </c>
      <c r="E290" s="20" t="s">
        <v>688</v>
      </c>
      <c r="F290" s="20">
        <v>4.242693514E9</v>
      </c>
      <c r="G290" s="90">
        <v>43813.0</v>
      </c>
      <c r="H290" s="136" t="s">
        <v>689</v>
      </c>
      <c r="I290" s="20"/>
      <c r="J290" s="90">
        <v>43867.0</v>
      </c>
      <c r="K290" s="20"/>
      <c r="L290" s="20" t="s">
        <v>690</v>
      </c>
      <c r="M290" s="38" t="s">
        <v>264</v>
      </c>
    </row>
    <row r="291" ht="22.5" customHeight="1">
      <c r="A291" s="20">
        <v>2020.0</v>
      </c>
      <c r="B291" s="20" t="s">
        <v>21</v>
      </c>
      <c r="C291" s="71" t="s">
        <v>691</v>
      </c>
      <c r="D291" s="119">
        <v>2.9947819E7</v>
      </c>
      <c r="E291" s="20" t="s">
        <v>692</v>
      </c>
      <c r="F291" s="20" t="s">
        <v>693</v>
      </c>
      <c r="G291" s="90">
        <v>43776.0</v>
      </c>
      <c r="H291" s="20" t="s">
        <v>68</v>
      </c>
      <c r="I291" s="20"/>
      <c r="J291" s="90">
        <v>43499.0</v>
      </c>
      <c r="K291" s="90">
        <v>43902.0</v>
      </c>
      <c r="L291" s="20"/>
      <c r="M291" s="38" t="s">
        <v>264</v>
      </c>
    </row>
    <row r="292" ht="22.5" customHeight="1">
      <c r="A292" s="20">
        <v>2020.0</v>
      </c>
      <c r="B292" s="20" t="s">
        <v>21</v>
      </c>
      <c r="C292" s="71" t="s">
        <v>694</v>
      </c>
      <c r="D292" s="20">
        <v>2.9935054E7</v>
      </c>
      <c r="E292" s="112" t="s">
        <v>695</v>
      </c>
      <c r="F292" s="20">
        <v>4.125413408E9</v>
      </c>
      <c r="G292" s="90">
        <v>43848.0</v>
      </c>
      <c r="H292" s="20" t="s">
        <v>562</v>
      </c>
      <c r="I292" s="20"/>
      <c r="J292" s="90">
        <v>43873.0</v>
      </c>
      <c r="K292" s="90">
        <v>43903.0</v>
      </c>
      <c r="L292" s="20"/>
      <c r="M292" s="38" t="s">
        <v>264</v>
      </c>
    </row>
    <row r="293" ht="22.5" customHeight="1">
      <c r="A293" s="20">
        <v>2020.0</v>
      </c>
      <c r="B293" s="20" t="s">
        <v>21</v>
      </c>
      <c r="C293" s="71" t="s">
        <v>696</v>
      </c>
      <c r="D293" s="20">
        <v>2.9921584E7</v>
      </c>
      <c r="E293" s="112" t="s">
        <v>697</v>
      </c>
      <c r="F293" s="20">
        <v>4.123993883E9</v>
      </c>
      <c r="G293" s="90">
        <v>43848.0</v>
      </c>
      <c r="H293" s="20" t="s">
        <v>698</v>
      </c>
      <c r="I293" s="20"/>
      <c r="J293" s="90">
        <v>43878.0</v>
      </c>
      <c r="K293" s="90">
        <v>43899.0</v>
      </c>
      <c r="L293" s="20"/>
      <c r="M293" s="38" t="s">
        <v>264</v>
      </c>
    </row>
    <row r="294" ht="22.5" customHeight="1">
      <c r="A294" s="113">
        <v>2020.0</v>
      </c>
      <c r="B294" s="113" t="s">
        <v>597</v>
      </c>
      <c r="C294" s="127" t="s">
        <v>699</v>
      </c>
      <c r="D294" s="113">
        <v>3.1145781E7</v>
      </c>
      <c r="E294" s="113" t="s">
        <v>700</v>
      </c>
      <c r="F294" s="113">
        <v>4.241491137E9</v>
      </c>
      <c r="G294" s="113"/>
      <c r="H294" s="113" t="s">
        <v>698</v>
      </c>
      <c r="I294" s="113"/>
      <c r="J294" s="113"/>
      <c r="K294" s="113"/>
      <c r="L294" s="113"/>
      <c r="M294" s="116" t="s">
        <v>586</v>
      </c>
      <c r="N294" s="117"/>
      <c r="O294" s="117"/>
      <c r="P294" s="117"/>
      <c r="Q294" s="117"/>
      <c r="R294" s="117"/>
      <c r="S294" s="117"/>
      <c r="T294" s="117"/>
      <c r="U294" s="117"/>
      <c r="V294" s="117"/>
      <c r="W294" s="117"/>
      <c r="X294" s="117"/>
      <c r="Y294" s="117"/>
      <c r="Z294" s="117"/>
    </row>
    <row r="295" ht="22.5" customHeight="1">
      <c r="A295" s="20">
        <v>2020.0</v>
      </c>
      <c r="B295" s="20" t="s">
        <v>701</v>
      </c>
      <c r="C295" s="71" t="s">
        <v>702</v>
      </c>
      <c r="D295" s="119">
        <v>2.9631045E7</v>
      </c>
      <c r="E295" s="20" t="s">
        <v>703</v>
      </c>
      <c r="F295" s="20" t="s">
        <v>704</v>
      </c>
      <c r="G295" s="90">
        <v>43876.0</v>
      </c>
      <c r="H295" s="20" t="s">
        <v>705</v>
      </c>
      <c r="I295" s="20"/>
      <c r="J295" s="90">
        <v>43899.0</v>
      </c>
      <c r="K295" s="90">
        <v>43901.0</v>
      </c>
      <c r="L295" s="20"/>
      <c r="M295" s="38" t="s">
        <v>264</v>
      </c>
    </row>
    <row r="296" ht="22.5" customHeight="1">
      <c r="A296" s="20">
        <v>2020.0</v>
      </c>
      <c r="B296" s="20" t="s">
        <v>701</v>
      </c>
      <c r="C296" s="71" t="s">
        <v>706</v>
      </c>
      <c r="D296" s="119">
        <v>2.9686206E7</v>
      </c>
      <c r="E296" s="20" t="s">
        <v>707</v>
      </c>
      <c r="F296" s="20" t="s">
        <v>708</v>
      </c>
      <c r="G296" s="90">
        <v>43876.0</v>
      </c>
      <c r="H296" s="20" t="s">
        <v>705</v>
      </c>
      <c r="I296" s="20"/>
      <c r="J296" s="90">
        <v>43899.0</v>
      </c>
      <c r="K296" s="90">
        <v>43901.0</v>
      </c>
      <c r="L296" s="20"/>
      <c r="M296" s="38" t="s">
        <v>264</v>
      </c>
    </row>
    <row r="297" ht="22.5" customHeight="1">
      <c r="A297" s="20">
        <v>2020.0</v>
      </c>
      <c r="B297" s="20" t="s">
        <v>701</v>
      </c>
      <c r="C297" s="71" t="s">
        <v>709</v>
      </c>
      <c r="D297" s="20">
        <v>3.0030892E7</v>
      </c>
      <c r="E297" s="112" t="s">
        <v>710</v>
      </c>
      <c r="F297" s="20">
        <v>4.167030364E9</v>
      </c>
      <c r="G297" s="90">
        <v>43547.0</v>
      </c>
      <c r="H297" s="20" t="s">
        <v>331</v>
      </c>
      <c r="I297" s="20"/>
      <c r="J297" s="90">
        <v>43762.0</v>
      </c>
      <c r="K297" s="90">
        <v>43867.0</v>
      </c>
      <c r="L297" s="20" t="s">
        <v>711</v>
      </c>
      <c r="M297" s="38" t="s">
        <v>264</v>
      </c>
    </row>
    <row r="298" ht="22.5" customHeight="1">
      <c r="A298" s="20">
        <v>2020.0</v>
      </c>
      <c r="B298" s="20" t="s">
        <v>21</v>
      </c>
      <c r="C298" s="71" t="s">
        <v>712</v>
      </c>
      <c r="D298" s="119">
        <v>3.0468123E7</v>
      </c>
      <c r="E298" s="20" t="s">
        <v>713</v>
      </c>
      <c r="F298" s="20">
        <v>4.141224705E9</v>
      </c>
      <c r="G298" s="90">
        <v>43776.0</v>
      </c>
      <c r="H298" s="20" t="s">
        <v>334</v>
      </c>
      <c r="I298" s="20"/>
      <c r="J298" s="90">
        <v>43896.0</v>
      </c>
      <c r="K298" s="90">
        <v>43971.0</v>
      </c>
      <c r="L298" s="20"/>
      <c r="M298" s="38" t="s">
        <v>264</v>
      </c>
    </row>
    <row r="299" ht="22.5" customHeight="1">
      <c r="A299" s="20">
        <v>2020.0</v>
      </c>
      <c r="B299" s="20" t="s">
        <v>21</v>
      </c>
      <c r="C299" s="71" t="s">
        <v>714</v>
      </c>
      <c r="D299" s="119">
        <v>3.0330483E7</v>
      </c>
      <c r="E299" s="112" t="s">
        <v>715</v>
      </c>
      <c r="F299" s="20">
        <v>4.241672948E9</v>
      </c>
      <c r="G299" s="90">
        <v>43776.0</v>
      </c>
      <c r="H299" s="20" t="s">
        <v>334</v>
      </c>
      <c r="I299" s="20"/>
      <c r="J299" s="90">
        <v>43902.0</v>
      </c>
      <c r="K299" s="90">
        <v>43971.0</v>
      </c>
      <c r="L299" s="20"/>
      <c r="M299" s="38" t="s">
        <v>264</v>
      </c>
    </row>
    <row r="300" ht="22.5" customHeight="1">
      <c r="A300" s="113">
        <v>2020.0</v>
      </c>
      <c r="B300" s="113" t="s">
        <v>260</v>
      </c>
      <c r="C300" s="127" t="s">
        <v>716</v>
      </c>
      <c r="D300" s="113">
        <v>3.1703954E7</v>
      </c>
      <c r="E300" s="133" t="s">
        <v>717</v>
      </c>
      <c r="F300" s="113">
        <v>4.125511614E9</v>
      </c>
      <c r="G300" s="134">
        <v>43757.0</v>
      </c>
      <c r="H300" s="113" t="s">
        <v>234</v>
      </c>
      <c r="I300" s="113"/>
      <c r="J300" s="134">
        <v>44139.0</v>
      </c>
      <c r="K300" s="113"/>
      <c r="L300" s="113"/>
      <c r="M300" s="38" t="s">
        <v>264</v>
      </c>
      <c r="N300" s="117"/>
      <c r="O300" s="117"/>
      <c r="P300" s="117"/>
      <c r="Q300" s="117"/>
      <c r="R300" s="117"/>
      <c r="S300" s="117"/>
      <c r="T300" s="117"/>
      <c r="U300" s="117"/>
      <c r="V300" s="117"/>
      <c r="W300" s="117"/>
      <c r="X300" s="117"/>
      <c r="Y300" s="117"/>
      <c r="Z300" s="117"/>
    </row>
    <row r="301" ht="22.5" customHeight="1">
      <c r="A301" s="20">
        <v>2020.0</v>
      </c>
      <c r="B301" s="20" t="s">
        <v>260</v>
      </c>
      <c r="C301" s="71" t="s">
        <v>718</v>
      </c>
      <c r="D301" s="20">
        <v>3.1136316E7</v>
      </c>
      <c r="E301" s="112" t="s">
        <v>719</v>
      </c>
      <c r="F301" s="20">
        <v>4.142386085E9</v>
      </c>
      <c r="G301" s="90">
        <v>43757.0</v>
      </c>
      <c r="H301" s="20" t="s">
        <v>234</v>
      </c>
      <c r="I301" s="20"/>
      <c r="J301" s="90">
        <v>43782.0</v>
      </c>
      <c r="K301" s="20"/>
      <c r="L301" s="20"/>
      <c r="M301" s="38" t="s">
        <v>264</v>
      </c>
    </row>
    <row r="302" ht="22.5" customHeight="1">
      <c r="A302" s="20">
        <v>2020.0</v>
      </c>
      <c r="B302" s="20" t="s">
        <v>260</v>
      </c>
      <c r="C302" s="71" t="s">
        <v>720</v>
      </c>
      <c r="D302" s="119">
        <v>3.108225E7</v>
      </c>
      <c r="E302" s="20" t="s">
        <v>721</v>
      </c>
      <c r="F302" s="20">
        <v>4.242130309E9</v>
      </c>
      <c r="G302" s="90">
        <v>43757.0</v>
      </c>
      <c r="H302" s="20" t="s">
        <v>234</v>
      </c>
      <c r="I302" s="20"/>
      <c r="J302" s="90">
        <v>43780.0</v>
      </c>
      <c r="K302" s="20"/>
      <c r="L302" s="20"/>
      <c r="M302" s="38" t="s">
        <v>264</v>
      </c>
    </row>
    <row r="303" ht="22.5" customHeight="1">
      <c r="A303" s="20">
        <v>2020.0</v>
      </c>
      <c r="B303" s="20" t="s">
        <v>260</v>
      </c>
      <c r="C303" s="71" t="s">
        <v>722</v>
      </c>
      <c r="D303" s="20">
        <v>3.0715286E7</v>
      </c>
      <c r="E303" s="20" t="s">
        <v>723</v>
      </c>
      <c r="F303" s="20">
        <v>4.125855747E9</v>
      </c>
      <c r="G303" s="90">
        <v>43757.0</v>
      </c>
      <c r="H303" s="20" t="s">
        <v>234</v>
      </c>
      <c r="I303" s="20"/>
      <c r="J303" s="90">
        <v>43777.0</v>
      </c>
      <c r="K303" s="20"/>
      <c r="L303" s="20"/>
      <c r="M303" s="38" t="s">
        <v>264</v>
      </c>
    </row>
    <row r="304" ht="22.5" customHeight="1">
      <c r="A304" s="20">
        <v>2020.0</v>
      </c>
      <c r="B304" s="20" t="s">
        <v>260</v>
      </c>
      <c r="C304" s="71" t="s">
        <v>724</v>
      </c>
      <c r="D304" s="20">
        <v>3.0888165E7</v>
      </c>
      <c r="E304" s="112" t="s">
        <v>725</v>
      </c>
      <c r="F304" s="20">
        <v>4.129639667E9</v>
      </c>
      <c r="G304" s="90">
        <v>43757.0</v>
      </c>
      <c r="H304" s="20" t="s">
        <v>234</v>
      </c>
      <c r="I304" s="20"/>
      <c r="J304" s="90">
        <v>43782.0</v>
      </c>
      <c r="K304" s="20"/>
      <c r="L304" s="20"/>
      <c r="M304" s="38" t="s">
        <v>264</v>
      </c>
    </row>
    <row r="305" ht="22.5" customHeight="1">
      <c r="A305" s="20">
        <v>2020.0</v>
      </c>
      <c r="B305" s="20" t="s">
        <v>260</v>
      </c>
      <c r="C305" s="71" t="s">
        <v>726</v>
      </c>
      <c r="D305" s="119">
        <v>3.0769816E7</v>
      </c>
      <c r="E305" s="20" t="s">
        <v>727</v>
      </c>
      <c r="F305" s="20">
        <v>4.241453327E9</v>
      </c>
      <c r="G305" s="90">
        <v>43757.0</v>
      </c>
      <c r="H305" s="20" t="s">
        <v>234</v>
      </c>
      <c r="I305" s="20"/>
      <c r="J305" s="90">
        <v>43787.0</v>
      </c>
      <c r="K305" s="20"/>
      <c r="L305" s="20"/>
      <c r="M305" s="38" t="s">
        <v>264</v>
      </c>
    </row>
    <row r="306" ht="22.5" customHeight="1">
      <c r="A306" s="113">
        <v>2020.0</v>
      </c>
      <c r="B306" s="113" t="s">
        <v>260</v>
      </c>
      <c r="C306" s="127" t="s">
        <v>728</v>
      </c>
      <c r="D306" s="132">
        <v>3.0715365E7</v>
      </c>
      <c r="E306" s="113" t="s">
        <v>729</v>
      </c>
      <c r="F306" s="113">
        <v>4.242111284E9</v>
      </c>
      <c r="G306" s="134">
        <v>43757.0</v>
      </c>
      <c r="H306" s="113" t="s">
        <v>234</v>
      </c>
      <c r="I306" s="113"/>
      <c r="J306" s="134">
        <v>43852.0</v>
      </c>
      <c r="K306" s="113"/>
      <c r="L306" s="113"/>
      <c r="M306" s="116" t="s">
        <v>606</v>
      </c>
      <c r="N306" s="117"/>
      <c r="O306" s="117"/>
      <c r="P306" s="117"/>
      <c r="Q306" s="117"/>
      <c r="R306" s="117"/>
      <c r="S306" s="117"/>
      <c r="T306" s="117"/>
      <c r="U306" s="117"/>
      <c r="V306" s="117"/>
      <c r="W306" s="117"/>
      <c r="X306" s="117"/>
      <c r="Y306" s="117"/>
      <c r="Z306" s="117"/>
    </row>
    <row r="307" ht="22.5" customHeight="1">
      <c r="A307" s="20">
        <v>2020.0</v>
      </c>
      <c r="B307" s="20" t="s">
        <v>311</v>
      </c>
      <c r="C307" s="71" t="s">
        <v>730</v>
      </c>
      <c r="D307" s="119">
        <v>2.9666592E7</v>
      </c>
      <c r="E307" s="112" t="s">
        <v>731</v>
      </c>
      <c r="F307" s="20">
        <v>4.141365018E9</v>
      </c>
      <c r="G307" s="20" t="s">
        <v>732</v>
      </c>
      <c r="H307" s="20" t="s">
        <v>365</v>
      </c>
      <c r="I307" s="20"/>
      <c r="J307" s="137">
        <v>43770.0</v>
      </c>
      <c r="K307" s="20" t="s">
        <v>733</v>
      </c>
      <c r="L307" s="20"/>
      <c r="M307" s="38" t="s">
        <v>264</v>
      </c>
    </row>
    <row r="308" ht="22.5" customHeight="1">
      <c r="A308" s="20">
        <v>2020.0</v>
      </c>
      <c r="B308" s="20" t="s">
        <v>311</v>
      </c>
      <c r="C308" s="71" t="s">
        <v>734</v>
      </c>
      <c r="D308" s="20">
        <v>2.9678891E7</v>
      </c>
      <c r="E308" s="112" t="s">
        <v>735</v>
      </c>
      <c r="F308" s="20">
        <v>4.128265655E9</v>
      </c>
      <c r="G308" s="20" t="s">
        <v>732</v>
      </c>
      <c r="H308" s="20" t="s">
        <v>365</v>
      </c>
      <c r="I308" s="20"/>
      <c r="J308" s="137">
        <v>43770.0</v>
      </c>
      <c r="K308" s="20" t="s">
        <v>736</v>
      </c>
      <c r="L308" s="20"/>
      <c r="M308" s="38" t="s">
        <v>264</v>
      </c>
    </row>
    <row r="309" ht="22.5" customHeight="1">
      <c r="A309" s="20">
        <v>2021.0</v>
      </c>
      <c r="B309" s="20" t="s">
        <v>21</v>
      </c>
      <c r="C309" s="71" t="s">
        <v>737</v>
      </c>
      <c r="D309" s="20">
        <v>3.1047287E7</v>
      </c>
      <c r="E309" s="20" t="s">
        <v>738</v>
      </c>
      <c r="F309" s="20">
        <v>4.24117155E9</v>
      </c>
      <c r="G309" s="90">
        <v>44226.0</v>
      </c>
      <c r="H309" s="20" t="s">
        <v>162</v>
      </c>
      <c r="I309" s="20"/>
      <c r="J309" s="90">
        <v>44239.0</v>
      </c>
      <c r="K309" s="90">
        <v>44330.0</v>
      </c>
      <c r="L309" s="20"/>
      <c r="M309" s="38" t="s">
        <v>264</v>
      </c>
    </row>
    <row r="310" ht="22.5" customHeight="1">
      <c r="A310" s="20">
        <v>2021.0</v>
      </c>
      <c r="B310" s="20" t="s">
        <v>21</v>
      </c>
      <c r="C310" s="71" t="s">
        <v>739</v>
      </c>
      <c r="D310" s="20" t="s">
        <v>740</v>
      </c>
      <c r="E310" s="20" t="s">
        <v>741</v>
      </c>
      <c r="F310" s="20" t="s">
        <v>742</v>
      </c>
      <c r="G310" s="90">
        <v>44226.0</v>
      </c>
      <c r="H310" s="20" t="s">
        <v>162</v>
      </c>
      <c r="I310" s="20"/>
      <c r="J310" s="90">
        <v>44298.0</v>
      </c>
      <c r="K310" s="90">
        <v>44337.0</v>
      </c>
      <c r="L310" s="20"/>
      <c r="M310" s="38" t="s">
        <v>264</v>
      </c>
    </row>
    <row r="311" ht="22.5" customHeight="1">
      <c r="A311" s="20">
        <v>2021.0</v>
      </c>
      <c r="B311" s="20" t="s">
        <v>21</v>
      </c>
      <c r="C311" s="71" t="s">
        <v>743</v>
      </c>
      <c r="D311" s="20">
        <v>3.0115399E7</v>
      </c>
      <c r="E311" s="20" t="s">
        <v>744</v>
      </c>
      <c r="F311" s="20">
        <v>4.122439791E9</v>
      </c>
      <c r="G311" s="90">
        <v>44226.0</v>
      </c>
      <c r="H311" s="20" t="s">
        <v>162</v>
      </c>
      <c r="I311" s="20"/>
      <c r="J311" s="90">
        <v>44239.0</v>
      </c>
      <c r="K311" s="90">
        <v>44330.0</v>
      </c>
      <c r="L311" s="20"/>
      <c r="M311" s="38" t="s">
        <v>264</v>
      </c>
    </row>
    <row r="312" ht="22.5" customHeight="1">
      <c r="A312" s="20">
        <v>2021.0</v>
      </c>
      <c r="B312" s="20" t="s">
        <v>21</v>
      </c>
      <c r="C312" s="71" t="s">
        <v>745</v>
      </c>
      <c r="D312" s="20">
        <v>3.0329949E7</v>
      </c>
      <c r="E312" s="20" t="s">
        <v>746</v>
      </c>
      <c r="F312" s="20">
        <v>4.160142393E9</v>
      </c>
      <c r="G312" s="90">
        <v>44226.0</v>
      </c>
      <c r="H312" s="20" t="s">
        <v>162</v>
      </c>
      <c r="I312" s="20"/>
      <c r="J312" s="90">
        <v>44271.0</v>
      </c>
      <c r="K312" s="90">
        <v>44372.0</v>
      </c>
      <c r="L312" s="20"/>
      <c r="M312" s="38" t="s">
        <v>264</v>
      </c>
    </row>
    <row r="313" ht="22.5" customHeight="1">
      <c r="A313" s="20">
        <v>2021.0</v>
      </c>
      <c r="B313" s="20" t="s">
        <v>21</v>
      </c>
      <c r="C313" s="71" t="s">
        <v>747</v>
      </c>
      <c r="D313" s="20">
        <v>3.084879E7</v>
      </c>
      <c r="E313" s="20" t="s">
        <v>748</v>
      </c>
      <c r="F313" s="20">
        <v>4.141132269E9</v>
      </c>
      <c r="G313" s="90">
        <v>44226.0</v>
      </c>
      <c r="H313" s="20" t="s">
        <v>162</v>
      </c>
      <c r="I313" s="20"/>
      <c r="J313" s="90">
        <v>44249.0</v>
      </c>
      <c r="K313" s="90">
        <v>44320.0</v>
      </c>
      <c r="L313" s="20"/>
      <c r="M313" s="38" t="s">
        <v>264</v>
      </c>
    </row>
    <row r="314" ht="22.5" customHeight="1">
      <c r="A314" s="20">
        <v>2021.0</v>
      </c>
      <c r="B314" s="20" t="s">
        <v>21</v>
      </c>
      <c r="C314" s="71" t="s">
        <v>749</v>
      </c>
      <c r="D314" s="119">
        <v>3.0030859E7</v>
      </c>
      <c r="E314" s="20" t="s">
        <v>750</v>
      </c>
      <c r="F314" s="20">
        <v>4.142298379E9</v>
      </c>
      <c r="G314" s="90">
        <v>44226.0</v>
      </c>
      <c r="H314" s="20" t="s">
        <v>162</v>
      </c>
      <c r="I314" s="20"/>
      <c r="J314" s="90">
        <v>44315.0</v>
      </c>
      <c r="K314" s="90">
        <v>44364.0</v>
      </c>
      <c r="L314" s="20"/>
      <c r="M314" s="38" t="s">
        <v>264</v>
      </c>
    </row>
    <row r="315" ht="22.5" customHeight="1">
      <c r="A315" s="20">
        <v>2021.0</v>
      </c>
      <c r="B315" s="20" t="s">
        <v>21</v>
      </c>
      <c r="C315" s="71" t="s">
        <v>751</v>
      </c>
      <c r="D315" s="20">
        <v>3.0751331E7</v>
      </c>
      <c r="E315" s="20" t="s">
        <v>752</v>
      </c>
      <c r="F315" s="20">
        <v>4.14196302E9</v>
      </c>
      <c r="G315" s="90">
        <v>44226.0</v>
      </c>
      <c r="H315" s="20" t="s">
        <v>162</v>
      </c>
      <c r="I315" s="20"/>
      <c r="J315" s="90">
        <v>44249.0</v>
      </c>
      <c r="K315" s="90">
        <v>44358.0</v>
      </c>
      <c r="L315" s="20"/>
      <c r="M315" s="38" t="s">
        <v>264</v>
      </c>
    </row>
    <row r="316" ht="22.5" customHeight="1">
      <c r="A316" s="20">
        <v>2021.0</v>
      </c>
      <c r="B316" s="20" t="s">
        <v>21</v>
      </c>
      <c r="C316" s="71" t="s">
        <v>753</v>
      </c>
      <c r="D316" s="20">
        <v>3.1126806E7</v>
      </c>
      <c r="E316" s="20" t="s">
        <v>754</v>
      </c>
      <c r="F316" s="20">
        <v>4.14382177E9</v>
      </c>
      <c r="G316" s="90">
        <v>44226.0</v>
      </c>
      <c r="H316" s="20" t="s">
        <v>162</v>
      </c>
      <c r="I316" s="20"/>
      <c r="J316" s="90">
        <v>44249.0</v>
      </c>
      <c r="K316" s="90">
        <v>44484.0</v>
      </c>
      <c r="L316" s="20"/>
      <c r="M316" s="38" t="s">
        <v>264</v>
      </c>
    </row>
    <row r="317" ht="22.5" customHeight="1">
      <c r="A317" s="20">
        <v>2021.0</v>
      </c>
      <c r="B317" s="20" t="s">
        <v>21</v>
      </c>
      <c r="C317" s="71" t="s">
        <v>755</v>
      </c>
      <c r="D317" s="20">
        <v>3.0158195E7</v>
      </c>
      <c r="E317" s="20" t="s">
        <v>756</v>
      </c>
      <c r="F317" s="20">
        <v>4.142352192E9</v>
      </c>
      <c r="G317" s="90">
        <v>44254.0</v>
      </c>
      <c r="H317" s="20" t="s">
        <v>162</v>
      </c>
      <c r="I317" s="20"/>
      <c r="J317" s="90">
        <v>44341.0</v>
      </c>
      <c r="K317" s="90">
        <v>44484.0</v>
      </c>
      <c r="L317" s="20" t="s">
        <v>757</v>
      </c>
      <c r="M317" s="38" t="s">
        <v>264</v>
      </c>
    </row>
    <row r="318" ht="22.5" customHeight="1">
      <c r="A318" s="20">
        <v>2021.0</v>
      </c>
      <c r="B318" s="20" t="s">
        <v>21</v>
      </c>
      <c r="C318" s="71" t="s">
        <v>758</v>
      </c>
      <c r="D318" s="119">
        <v>2.842477E7</v>
      </c>
      <c r="E318" s="20" t="s">
        <v>759</v>
      </c>
      <c r="F318" s="20" t="s">
        <v>760</v>
      </c>
      <c r="G318" s="90">
        <v>44226.0</v>
      </c>
      <c r="H318" s="20" t="s">
        <v>457</v>
      </c>
      <c r="I318" s="20"/>
      <c r="J318" s="90">
        <v>44250.0</v>
      </c>
      <c r="K318" s="90">
        <v>44380.0</v>
      </c>
      <c r="L318" s="20"/>
      <c r="M318" s="38" t="s">
        <v>264</v>
      </c>
    </row>
    <row r="319" ht="22.5" customHeight="1">
      <c r="A319" s="20">
        <v>2021.0</v>
      </c>
      <c r="B319" s="20" t="s">
        <v>21</v>
      </c>
      <c r="C319" s="71" t="s">
        <v>761</v>
      </c>
      <c r="D319" s="20">
        <v>3.0579903E7</v>
      </c>
      <c r="E319" s="20" t="s">
        <v>762</v>
      </c>
      <c r="F319" s="20">
        <v>4.265125597E9</v>
      </c>
      <c r="G319" s="90">
        <v>44226.0</v>
      </c>
      <c r="H319" s="20" t="s">
        <v>457</v>
      </c>
      <c r="I319" s="20"/>
      <c r="J319" s="90">
        <v>44315.0</v>
      </c>
      <c r="K319" s="90">
        <v>44480.0</v>
      </c>
      <c r="L319" s="20"/>
      <c r="M319" s="38" t="s">
        <v>264</v>
      </c>
    </row>
    <row r="320" ht="22.5" customHeight="1">
      <c r="A320" s="20">
        <v>2021.0</v>
      </c>
      <c r="B320" s="20" t="s">
        <v>21</v>
      </c>
      <c r="C320" s="71" t="s">
        <v>763</v>
      </c>
      <c r="D320" s="119">
        <v>3.0032955E7</v>
      </c>
      <c r="E320" s="20" t="s">
        <v>764</v>
      </c>
      <c r="F320" s="20">
        <v>4.242846353E9</v>
      </c>
      <c r="G320" s="90">
        <v>44226.0</v>
      </c>
      <c r="H320" s="20" t="s">
        <v>457</v>
      </c>
      <c r="I320" s="20"/>
      <c r="J320" s="90">
        <v>44315.0</v>
      </c>
      <c r="K320" s="90">
        <v>44480.0</v>
      </c>
      <c r="L320" s="20"/>
      <c r="M320" s="38" t="s">
        <v>264</v>
      </c>
    </row>
    <row r="321" ht="22.5" customHeight="1">
      <c r="A321" s="20">
        <v>2021.0</v>
      </c>
      <c r="B321" s="20" t="s">
        <v>21</v>
      </c>
      <c r="C321" s="71" t="s">
        <v>765</v>
      </c>
      <c r="D321" s="119">
        <v>3.1045782E7</v>
      </c>
      <c r="E321" s="20" t="s">
        <v>766</v>
      </c>
      <c r="F321" s="20">
        <v>4.141225622E9</v>
      </c>
      <c r="G321" s="90">
        <v>44156.0</v>
      </c>
      <c r="H321" s="20" t="s">
        <v>767</v>
      </c>
      <c r="I321" s="20"/>
      <c r="J321" s="90">
        <v>44216.0</v>
      </c>
      <c r="K321" s="90">
        <v>44271.0</v>
      </c>
      <c r="L321" s="20" t="s">
        <v>768</v>
      </c>
      <c r="M321" s="38" t="s">
        <v>264</v>
      </c>
    </row>
    <row r="322" ht="22.5" customHeight="1">
      <c r="A322" s="20">
        <v>2021.0</v>
      </c>
      <c r="B322" s="20" t="s">
        <v>21</v>
      </c>
      <c r="C322" s="71" t="s">
        <v>769</v>
      </c>
      <c r="D322" s="20">
        <v>3.0394798E7</v>
      </c>
      <c r="E322" s="20" t="s">
        <v>770</v>
      </c>
      <c r="F322" s="20">
        <v>4.242405974E9</v>
      </c>
      <c r="G322" s="90">
        <v>44203.0</v>
      </c>
      <c r="H322" s="20" t="s">
        <v>472</v>
      </c>
      <c r="I322" s="20"/>
      <c r="J322" s="90">
        <v>44232.0</v>
      </c>
      <c r="K322" s="90">
        <v>44266.0</v>
      </c>
      <c r="L322" s="20"/>
      <c r="M322" s="38" t="s">
        <v>264</v>
      </c>
    </row>
    <row r="323" ht="22.5" customHeight="1">
      <c r="A323" s="20">
        <v>2021.0</v>
      </c>
      <c r="B323" s="20" t="s">
        <v>21</v>
      </c>
      <c r="C323" s="71" t="s">
        <v>771</v>
      </c>
      <c r="D323" s="20">
        <v>3.1046462E7</v>
      </c>
      <c r="E323" s="20" t="s">
        <v>772</v>
      </c>
      <c r="F323" s="20" t="s">
        <v>773</v>
      </c>
      <c r="G323" s="90">
        <v>44203.0</v>
      </c>
      <c r="H323" s="20" t="s">
        <v>774</v>
      </c>
      <c r="I323" s="20"/>
      <c r="J323" s="90">
        <v>44216.0</v>
      </c>
      <c r="K323" s="90">
        <v>44331.0</v>
      </c>
      <c r="L323" s="20" t="s">
        <v>775</v>
      </c>
      <c r="M323" s="38" t="s">
        <v>264</v>
      </c>
    </row>
    <row r="324" ht="22.5" customHeight="1">
      <c r="A324" s="20">
        <v>2021.0</v>
      </c>
      <c r="B324" s="20" t="s">
        <v>21</v>
      </c>
      <c r="C324" s="71" t="s">
        <v>776</v>
      </c>
      <c r="D324" s="119">
        <v>3.0720182E7</v>
      </c>
      <c r="E324" s="20" t="s">
        <v>777</v>
      </c>
      <c r="F324" s="20">
        <v>4.241566881E9</v>
      </c>
      <c r="G324" s="90">
        <v>44156.0</v>
      </c>
      <c r="H324" s="20" t="s">
        <v>778</v>
      </c>
      <c r="I324" s="20"/>
      <c r="J324" s="90">
        <v>44200.0</v>
      </c>
      <c r="K324" s="90">
        <v>44239.0</v>
      </c>
      <c r="L324" s="20"/>
      <c r="M324" s="38" t="s">
        <v>264</v>
      </c>
    </row>
    <row r="325" ht="22.5" customHeight="1">
      <c r="A325" s="20">
        <v>2021.0</v>
      </c>
      <c r="B325" s="20" t="s">
        <v>21</v>
      </c>
      <c r="C325" s="71" t="s">
        <v>779</v>
      </c>
      <c r="D325" s="119">
        <v>3.1101623E7</v>
      </c>
      <c r="E325" s="20" t="s">
        <v>780</v>
      </c>
      <c r="F325" s="20">
        <v>4.263999256E9</v>
      </c>
      <c r="G325" s="90">
        <v>44156.0</v>
      </c>
      <c r="H325" s="20" t="s">
        <v>778</v>
      </c>
      <c r="I325" s="20"/>
      <c r="J325" s="90">
        <v>44181.0</v>
      </c>
      <c r="K325" s="90">
        <v>44235.0</v>
      </c>
      <c r="L325" s="20"/>
      <c r="M325" s="38" t="s">
        <v>264</v>
      </c>
    </row>
    <row r="326" ht="22.5" customHeight="1">
      <c r="A326" s="20">
        <v>2021.0</v>
      </c>
      <c r="B326" s="20" t="s">
        <v>664</v>
      </c>
      <c r="C326" s="127" t="s">
        <v>781</v>
      </c>
      <c r="D326" s="20">
        <v>3.0750812E7</v>
      </c>
      <c r="E326" s="20" t="s">
        <v>782</v>
      </c>
      <c r="F326" s="20">
        <v>4.122872215E9</v>
      </c>
      <c r="G326" s="90">
        <v>43547.0</v>
      </c>
      <c r="H326" s="20" t="s">
        <v>183</v>
      </c>
      <c r="I326" s="20"/>
      <c r="J326" s="90">
        <v>43623.0</v>
      </c>
      <c r="K326" s="20"/>
      <c r="L326" s="20" t="s">
        <v>783</v>
      </c>
      <c r="M326" s="38" t="s">
        <v>784</v>
      </c>
    </row>
    <row r="327" ht="22.5" customHeight="1">
      <c r="A327" s="20">
        <v>2021.0</v>
      </c>
      <c r="B327" s="20" t="s">
        <v>664</v>
      </c>
      <c r="C327" s="127" t="s">
        <v>785</v>
      </c>
      <c r="D327" s="20">
        <v>3.1661729E7</v>
      </c>
      <c r="E327" s="20" t="s">
        <v>786</v>
      </c>
      <c r="F327" s="20">
        <v>4.12661729E8</v>
      </c>
      <c r="G327" s="90">
        <v>43728.0</v>
      </c>
      <c r="H327" s="20" t="s">
        <v>183</v>
      </c>
      <c r="I327" s="20"/>
      <c r="J327" s="90">
        <v>43709.0</v>
      </c>
      <c r="K327" s="20"/>
      <c r="L327" s="20" t="s">
        <v>783</v>
      </c>
      <c r="M327" s="38" t="s">
        <v>784</v>
      </c>
    </row>
    <row r="328" ht="22.5" customHeight="1">
      <c r="A328" s="20">
        <v>2021.0</v>
      </c>
      <c r="B328" s="20" t="s">
        <v>21</v>
      </c>
      <c r="C328" s="71" t="s">
        <v>787</v>
      </c>
      <c r="D328" s="119">
        <v>3.0954418E7</v>
      </c>
      <c r="E328" s="20" t="s">
        <v>788</v>
      </c>
      <c r="F328" s="20" t="s">
        <v>789</v>
      </c>
      <c r="G328" s="90">
        <v>44226.0</v>
      </c>
      <c r="H328" s="20" t="s">
        <v>68</v>
      </c>
      <c r="I328" s="20"/>
      <c r="J328" s="90">
        <v>44249.0</v>
      </c>
      <c r="K328" s="35">
        <v>44301.0</v>
      </c>
      <c r="L328" s="20"/>
      <c r="M328" s="38" t="s">
        <v>264</v>
      </c>
    </row>
    <row r="329" ht="22.5" customHeight="1">
      <c r="A329" s="20">
        <v>2021.0</v>
      </c>
      <c r="B329" s="20" t="s">
        <v>21</v>
      </c>
      <c r="C329" s="71" t="s">
        <v>790</v>
      </c>
      <c r="D329" s="20">
        <v>3.0030466E7</v>
      </c>
      <c r="E329" s="20" t="s">
        <v>791</v>
      </c>
      <c r="F329" s="20">
        <v>4.241583484E9</v>
      </c>
      <c r="G329" s="90">
        <v>44254.0</v>
      </c>
      <c r="H329" s="20" t="s">
        <v>68</v>
      </c>
      <c r="I329" s="20"/>
      <c r="J329" s="90">
        <v>44270.0</v>
      </c>
      <c r="K329" s="36">
        <v>44327.0</v>
      </c>
      <c r="L329" s="20"/>
      <c r="M329" s="38" t="s">
        <v>264</v>
      </c>
    </row>
    <row r="330" ht="22.5" customHeight="1">
      <c r="A330" s="20">
        <v>2021.0</v>
      </c>
      <c r="B330" s="20" t="s">
        <v>21</v>
      </c>
      <c r="C330" s="71" t="s">
        <v>792</v>
      </c>
      <c r="D330" s="20">
        <v>3.0411871E7</v>
      </c>
      <c r="E330" s="20" t="s">
        <v>793</v>
      </c>
      <c r="F330" s="20">
        <v>4.143200023E9</v>
      </c>
      <c r="G330" s="90">
        <v>44254.0</v>
      </c>
      <c r="H330" s="20" t="s">
        <v>68</v>
      </c>
      <c r="I330" s="20"/>
      <c r="J330" s="90">
        <v>44270.0</v>
      </c>
      <c r="K330" s="35">
        <v>44373.0</v>
      </c>
      <c r="L330" s="20"/>
      <c r="M330" s="38" t="s">
        <v>264</v>
      </c>
    </row>
    <row r="331" ht="22.5" customHeight="1">
      <c r="A331" s="20">
        <v>2021.0</v>
      </c>
      <c r="B331" s="20" t="s">
        <v>21</v>
      </c>
      <c r="C331" s="71" t="s">
        <v>794</v>
      </c>
      <c r="D331" s="20">
        <v>3.0580519E7</v>
      </c>
      <c r="E331" s="20" t="s">
        <v>795</v>
      </c>
      <c r="F331" s="20">
        <v>4.142449814E9</v>
      </c>
      <c r="G331" s="90">
        <v>44254.0</v>
      </c>
      <c r="H331" s="20" t="s">
        <v>68</v>
      </c>
      <c r="I331" s="20"/>
      <c r="J331" s="90">
        <v>44270.0</v>
      </c>
      <c r="K331" s="36">
        <v>44327.0</v>
      </c>
      <c r="L331" s="20"/>
      <c r="M331" s="38" t="s">
        <v>264</v>
      </c>
    </row>
    <row r="332" ht="22.5" customHeight="1">
      <c r="A332" s="20">
        <v>2021.0</v>
      </c>
      <c r="B332" s="20" t="s">
        <v>21</v>
      </c>
      <c r="C332" s="71" t="s">
        <v>796</v>
      </c>
      <c r="D332" s="20">
        <v>3.0030688E7</v>
      </c>
      <c r="E332" s="20" t="s">
        <v>797</v>
      </c>
      <c r="F332" s="20" t="s">
        <v>798</v>
      </c>
      <c r="G332" s="90">
        <v>44254.0</v>
      </c>
      <c r="H332" s="20" t="s">
        <v>68</v>
      </c>
      <c r="I332" s="20"/>
      <c r="J332" s="90">
        <v>44270.0</v>
      </c>
      <c r="K332" s="35">
        <v>44344.0</v>
      </c>
      <c r="L332" s="20"/>
      <c r="M332" s="38" t="s">
        <v>264</v>
      </c>
    </row>
    <row r="333" ht="22.5" customHeight="1">
      <c r="A333" s="113">
        <v>2021.0</v>
      </c>
      <c r="B333" s="113" t="s">
        <v>21</v>
      </c>
      <c r="C333" s="127" t="s">
        <v>799</v>
      </c>
      <c r="D333" s="113">
        <v>3.0011178E7</v>
      </c>
      <c r="E333" s="113" t="s">
        <v>800</v>
      </c>
      <c r="F333" s="113" t="s">
        <v>801</v>
      </c>
      <c r="G333" s="134">
        <v>44203.0</v>
      </c>
      <c r="H333" s="113" t="s">
        <v>705</v>
      </c>
      <c r="I333" s="113"/>
      <c r="J333" s="134">
        <v>44217.0</v>
      </c>
      <c r="K333" s="134">
        <v>44323.0</v>
      </c>
      <c r="L333" s="113"/>
      <c r="M333" s="116" t="s">
        <v>586</v>
      </c>
      <c r="N333" s="117"/>
      <c r="O333" s="117"/>
      <c r="P333" s="117"/>
      <c r="Q333" s="117"/>
      <c r="R333" s="117"/>
      <c r="S333" s="117"/>
      <c r="T333" s="117"/>
      <c r="U333" s="117"/>
      <c r="V333" s="117"/>
      <c r="W333" s="117"/>
      <c r="X333" s="117"/>
      <c r="Y333" s="117"/>
      <c r="Z333" s="117"/>
    </row>
    <row r="334" ht="22.5" customHeight="1">
      <c r="A334" s="20">
        <v>2021.0</v>
      </c>
      <c r="B334" s="20" t="s">
        <v>21</v>
      </c>
      <c r="C334" s="71" t="s">
        <v>802</v>
      </c>
      <c r="D334" s="119">
        <v>3.003078E7</v>
      </c>
      <c r="E334" s="20" t="s">
        <v>803</v>
      </c>
      <c r="F334" s="20" t="s">
        <v>804</v>
      </c>
      <c r="G334" s="90">
        <v>44254.0</v>
      </c>
      <c r="H334" s="20" t="s">
        <v>705</v>
      </c>
      <c r="I334" s="20"/>
      <c r="J334" s="90">
        <v>44264.0</v>
      </c>
      <c r="K334" s="90">
        <v>44330.0</v>
      </c>
      <c r="L334" s="20"/>
      <c r="M334" s="38" t="s">
        <v>264</v>
      </c>
    </row>
    <row r="335" ht="22.5" customHeight="1">
      <c r="A335" s="20">
        <v>2021.0</v>
      </c>
      <c r="B335" s="20" t="s">
        <v>21</v>
      </c>
      <c r="C335" s="71" t="s">
        <v>805</v>
      </c>
      <c r="D335" s="20">
        <v>3.0552871E7</v>
      </c>
      <c r="E335" s="20" t="s">
        <v>806</v>
      </c>
      <c r="F335" s="20">
        <v>4.242415678E9</v>
      </c>
      <c r="G335" s="90">
        <v>44310.0</v>
      </c>
      <c r="H335" s="20" t="s">
        <v>807</v>
      </c>
      <c r="I335" s="20"/>
      <c r="J335" s="90">
        <v>44368.0</v>
      </c>
      <c r="K335" s="90">
        <v>44384.0</v>
      </c>
      <c r="L335" s="20"/>
      <c r="M335" s="38" t="s">
        <v>264</v>
      </c>
    </row>
    <row r="336" ht="22.5" customHeight="1">
      <c r="A336" s="20">
        <v>2022.0</v>
      </c>
      <c r="B336" s="20" t="s">
        <v>21</v>
      </c>
      <c r="C336" s="71" t="s">
        <v>808</v>
      </c>
      <c r="D336" s="20">
        <v>3.0751339E7</v>
      </c>
      <c r="E336" s="20" t="s">
        <v>809</v>
      </c>
      <c r="F336" s="20" t="s">
        <v>810</v>
      </c>
      <c r="G336" s="90">
        <v>44464.0</v>
      </c>
      <c r="H336" s="20" t="s">
        <v>811</v>
      </c>
      <c r="I336" s="20"/>
      <c r="J336" s="90">
        <v>44595.0</v>
      </c>
      <c r="K336" s="90">
        <v>44873.0</v>
      </c>
      <c r="L336" s="20"/>
      <c r="M336" s="38" t="s">
        <v>264</v>
      </c>
    </row>
    <row r="337" ht="22.5" customHeight="1">
      <c r="A337" s="20">
        <v>2022.0</v>
      </c>
      <c r="B337" s="20" t="s">
        <v>21</v>
      </c>
      <c r="C337" s="71" t="s">
        <v>812</v>
      </c>
      <c r="D337" s="119">
        <v>3.1299012E7</v>
      </c>
      <c r="E337" s="20" t="s">
        <v>813</v>
      </c>
      <c r="F337" s="20" t="s">
        <v>814</v>
      </c>
      <c r="G337" s="90">
        <v>44739.0</v>
      </c>
      <c r="H337" s="20" t="s">
        <v>815</v>
      </c>
      <c r="I337" s="20"/>
      <c r="J337" s="90">
        <v>44739.0</v>
      </c>
      <c r="K337" s="90">
        <v>44771.0</v>
      </c>
      <c r="L337" s="20"/>
      <c r="M337" s="38" t="s">
        <v>264</v>
      </c>
    </row>
    <row r="338" ht="22.5" customHeight="1">
      <c r="A338" s="20">
        <v>2022.0</v>
      </c>
      <c r="B338" s="20" t="s">
        <v>311</v>
      </c>
      <c r="C338" s="71" t="s">
        <v>816</v>
      </c>
      <c r="D338" s="20">
        <v>3.1025092E7</v>
      </c>
      <c r="E338" s="20" t="s">
        <v>817</v>
      </c>
      <c r="F338" s="20">
        <v>4.265113536E9</v>
      </c>
      <c r="G338" s="90">
        <v>44625.0</v>
      </c>
      <c r="H338" s="20" t="s">
        <v>162</v>
      </c>
      <c r="I338" s="20"/>
      <c r="J338" s="20"/>
      <c r="K338" s="20"/>
      <c r="L338" s="138" t="s">
        <v>818</v>
      </c>
      <c r="M338" s="38" t="s">
        <v>264</v>
      </c>
    </row>
    <row r="339" ht="22.5" customHeight="1">
      <c r="A339" s="20">
        <v>2022.0</v>
      </c>
      <c r="B339" s="20" t="s">
        <v>311</v>
      </c>
      <c r="C339" s="71" t="s">
        <v>819</v>
      </c>
      <c r="D339" s="119">
        <v>3.1136593E7</v>
      </c>
      <c r="E339" s="20" t="s">
        <v>820</v>
      </c>
      <c r="F339" s="20">
        <v>4.12720381E9</v>
      </c>
      <c r="G339" s="90">
        <v>44625.0</v>
      </c>
      <c r="H339" s="20" t="s">
        <v>262</v>
      </c>
      <c r="I339" s="20"/>
      <c r="J339" s="90">
        <v>44293.0</v>
      </c>
      <c r="K339" s="20"/>
      <c r="L339" s="20" t="s">
        <v>821</v>
      </c>
      <c r="M339" s="38" t="s">
        <v>264</v>
      </c>
    </row>
    <row r="340" ht="22.5" customHeight="1">
      <c r="A340" s="113">
        <v>2022.0</v>
      </c>
      <c r="B340" s="113" t="s">
        <v>311</v>
      </c>
      <c r="C340" s="127" t="s">
        <v>822</v>
      </c>
      <c r="D340" s="113">
        <v>3.2342375E7</v>
      </c>
      <c r="E340" s="113" t="s">
        <v>823</v>
      </c>
      <c r="F340" s="113">
        <v>4.242700761E9</v>
      </c>
      <c r="G340" s="134">
        <v>44882.0</v>
      </c>
      <c r="H340" s="113" t="s">
        <v>262</v>
      </c>
      <c r="I340" s="113"/>
      <c r="J340" s="113"/>
      <c r="K340" s="113"/>
      <c r="L340" s="113"/>
      <c r="M340" s="116" t="s">
        <v>586</v>
      </c>
      <c r="N340" s="117"/>
      <c r="O340" s="117"/>
      <c r="P340" s="117"/>
      <c r="Q340" s="117"/>
      <c r="R340" s="117"/>
      <c r="S340" s="117"/>
      <c r="T340" s="117"/>
      <c r="U340" s="117"/>
      <c r="V340" s="117"/>
      <c r="W340" s="117"/>
      <c r="X340" s="117"/>
      <c r="Y340" s="117"/>
      <c r="Z340" s="117"/>
    </row>
    <row r="341" ht="22.5" customHeight="1">
      <c r="A341" s="20">
        <v>2022.0</v>
      </c>
      <c r="B341" s="20" t="s">
        <v>21</v>
      </c>
      <c r="C341" s="71" t="s">
        <v>824</v>
      </c>
      <c r="D341" s="20">
        <v>3.0947227E7</v>
      </c>
      <c r="E341" s="20" t="s">
        <v>825</v>
      </c>
      <c r="F341" s="20" t="s">
        <v>826</v>
      </c>
      <c r="G341" s="90">
        <v>44625.0</v>
      </c>
      <c r="H341" s="20" t="s">
        <v>552</v>
      </c>
      <c r="I341" s="20"/>
      <c r="J341" s="90">
        <v>44347.0</v>
      </c>
      <c r="K341" s="90">
        <v>44644.0</v>
      </c>
      <c r="L341" s="20" t="s">
        <v>827</v>
      </c>
      <c r="M341" s="38" t="s">
        <v>264</v>
      </c>
    </row>
    <row r="342" ht="22.5" customHeight="1">
      <c r="A342" s="113">
        <v>2022.0</v>
      </c>
      <c r="B342" s="113" t="s">
        <v>300</v>
      </c>
      <c r="C342" s="127" t="s">
        <v>828</v>
      </c>
      <c r="D342" s="113">
        <v>3.1308691E7</v>
      </c>
      <c r="E342" s="113" t="s">
        <v>829</v>
      </c>
      <c r="F342" s="113">
        <v>4.126370556E9</v>
      </c>
      <c r="G342" s="134">
        <v>44625.0</v>
      </c>
      <c r="H342" s="113" t="s">
        <v>830</v>
      </c>
      <c r="I342" s="113"/>
      <c r="J342" s="113"/>
      <c r="K342" s="113"/>
      <c r="L342" s="113" t="s">
        <v>831</v>
      </c>
      <c r="M342" s="116" t="s">
        <v>586</v>
      </c>
      <c r="N342" s="117"/>
      <c r="O342" s="117"/>
      <c r="P342" s="117"/>
      <c r="Q342" s="117"/>
      <c r="R342" s="117"/>
      <c r="S342" s="117"/>
      <c r="T342" s="117"/>
      <c r="U342" s="117"/>
      <c r="V342" s="117"/>
      <c r="W342" s="117"/>
      <c r="X342" s="117"/>
      <c r="Y342" s="117"/>
      <c r="Z342" s="117"/>
    </row>
    <row r="343" ht="22.5" customHeight="1">
      <c r="A343" s="113">
        <v>2022.0</v>
      </c>
      <c r="B343" s="113" t="s">
        <v>300</v>
      </c>
      <c r="C343" s="127" t="s">
        <v>832</v>
      </c>
      <c r="D343" s="132">
        <v>3.0849122E7</v>
      </c>
      <c r="E343" s="113" t="s">
        <v>833</v>
      </c>
      <c r="F343" s="113" t="s">
        <v>834</v>
      </c>
      <c r="G343" s="134">
        <v>44625.0</v>
      </c>
      <c r="H343" s="113" t="s">
        <v>830</v>
      </c>
      <c r="I343" s="113"/>
      <c r="J343" s="113"/>
      <c r="K343" s="113"/>
      <c r="L343" s="113" t="s">
        <v>835</v>
      </c>
      <c r="M343" s="116" t="s">
        <v>836</v>
      </c>
      <c r="N343" s="117"/>
      <c r="O343" s="117"/>
      <c r="P343" s="117"/>
      <c r="Q343" s="117"/>
      <c r="R343" s="117"/>
      <c r="S343" s="117"/>
      <c r="T343" s="117"/>
      <c r="U343" s="117"/>
      <c r="V343" s="117"/>
      <c r="W343" s="117"/>
      <c r="X343" s="117"/>
      <c r="Y343" s="117"/>
      <c r="Z343" s="117"/>
    </row>
    <row r="344" ht="22.5" customHeight="1">
      <c r="A344" s="113">
        <v>2022.0</v>
      </c>
      <c r="B344" s="113" t="s">
        <v>300</v>
      </c>
      <c r="C344" s="127" t="s">
        <v>837</v>
      </c>
      <c r="D344" s="113">
        <v>3.0580489E7</v>
      </c>
      <c r="E344" s="113" t="s">
        <v>838</v>
      </c>
      <c r="F344" s="113">
        <v>4.241302053E9</v>
      </c>
      <c r="G344" s="134">
        <v>44625.0</v>
      </c>
      <c r="H344" s="113" t="s">
        <v>830</v>
      </c>
      <c r="I344" s="113"/>
      <c r="J344" s="113"/>
      <c r="K344" s="113"/>
      <c r="L344" s="113"/>
      <c r="M344" s="116" t="s">
        <v>606</v>
      </c>
      <c r="N344" s="117"/>
      <c r="O344" s="117"/>
      <c r="P344" s="117"/>
      <c r="Q344" s="117"/>
      <c r="R344" s="117"/>
      <c r="S344" s="117"/>
      <c r="T344" s="117"/>
      <c r="U344" s="117"/>
      <c r="V344" s="117"/>
      <c r="W344" s="117"/>
      <c r="X344" s="117"/>
      <c r="Y344" s="117"/>
      <c r="Z344" s="117"/>
    </row>
    <row r="345" ht="22.5" customHeight="1">
      <c r="A345" s="113">
        <v>2022.0</v>
      </c>
      <c r="B345" s="113" t="s">
        <v>300</v>
      </c>
      <c r="C345" s="127" t="s">
        <v>839</v>
      </c>
      <c r="D345" s="113">
        <v>3.0722146E7</v>
      </c>
      <c r="E345" s="113" t="s">
        <v>840</v>
      </c>
      <c r="F345" s="113">
        <v>4.241668013E9</v>
      </c>
      <c r="G345" s="134">
        <v>44882.0</v>
      </c>
      <c r="H345" s="113" t="s">
        <v>830</v>
      </c>
      <c r="I345" s="113"/>
      <c r="J345" s="113"/>
      <c r="K345" s="113"/>
      <c r="L345" s="113"/>
      <c r="M345" s="116" t="s">
        <v>586</v>
      </c>
      <c r="N345" s="117"/>
      <c r="O345" s="117"/>
      <c r="P345" s="117"/>
      <c r="Q345" s="117"/>
      <c r="R345" s="117"/>
      <c r="S345" s="117"/>
      <c r="T345" s="117"/>
      <c r="U345" s="117"/>
      <c r="V345" s="117"/>
      <c r="W345" s="117"/>
      <c r="X345" s="117"/>
      <c r="Y345" s="117"/>
      <c r="Z345" s="117"/>
    </row>
    <row r="346" ht="22.5" customHeight="1">
      <c r="A346" s="113">
        <v>2022.0</v>
      </c>
      <c r="B346" s="113" t="s">
        <v>300</v>
      </c>
      <c r="C346" s="127" t="s">
        <v>841</v>
      </c>
      <c r="D346" s="113">
        <v>3.108794E7</v>
      </c>
      <c r="E346" s="113" t="s">
        <v>842</v>
      </c>
      <c r="F346" s="113">
        <v>4.24211631E9</v>
      </c>
      <c r="G346" s="113"/>
      <c r="H346" s="113" t="s">
        <v>276</v>
      </c>
      <c r="I346" s="113"/>
      <c r="J346" s="113"/>
      <c r="K346" s="113"/>
      <c r="L346" s="113" t="s">
        <v>843</v>
      </c>
      <c r="M346" s="116" t="s">
        <v>586</v>
      </c>
      <c r="N346" s="117"/>
      <c r="O346" s="117"/>
      <c r="P346" s="117"/>
      <c r="Q346" s="117"/>
      <c r="R346" s="117"/>
      <c r="S346" s="117"/>
      <c r="T346" s="117"/>
      <c r="U346" s="117"/>
      <c r="V346" s="117"/>
      <c r="W346" s="117"/>
      <c r="X346" s="117"/>
      <c r="Y346" s="117"/>
      <c r="Z346" s="117"/>
    </row>
    <row r="347" ht="22.5" customHeight="1">
      <c r="A347" s="113">
        <v>2022.0</v>
      </c>
      <c r="B347" s="113" t="s">
        <v>300</v>
      </c>
      <c r="C347" s="127" t="s">
        <v>844</v>
      </c>
      <c r="D347" s="132">
        <v>3.198489E7</v>
      </c>
      <c r="E347" s="113"/>
      <c r="F347" s="113">
        <v>4.166354828E9</v>
      </c>
      <c r="G347" s="134">
        <v>44541.0</v>
      </c>
      <c r="H347" s="113" t="s">
        <v>472</v>
      </c>
      <c r="I347" s="113"/>
      <c r="J347" s="113"/>
      <c r="K347" s="113"/>
      <c r="L347" s="113" t="s">
        <v>845</v>
      </c>
      <c r="M347" s="116" t="s">
        <v>586</v>
      </c>
      <c r="N347" s="117"/>
      <c r="O347" s="117"/>
      <c r="P347" s="117"/>
      <c r="Q347" s="117"/>
      <c r="R347" s="117"/>
      <c r="S347" s="117"/>
      <c r="T347" s="117"/>
      <c r="U347" s="117"/>
      <c r="V347" s="117"/>
      <c r="W347" s="117"/>
      <c r="X347" s="117"/>
      <c r="Y347" s="117"/>
      <c r="Z347" s="117"/>
    </row>
    <row r="348" ht="22.5" customHeight="1">
      <c r="A348" s="20">
        <v>2022.0</v>
      </c>
      <c r="B348" s="20" t="s">
        <v>21</v>
      </c>
      <c r="C348" s="71" t="s">
        <v>846</v>
      </c>
      <c r="D348" s="119">
        <v>3.1307629E7</v>
      </c>
      <c r="E348" s="20" t="s">
        <v>847</v>
      </c>
      <c r="F348" s="20" t="s">
        <v>848</v>
      </c>
      <c r="G348" s="90">
        <v>44692.0</v>
      </c>
      <c r="H348" s="20" t="s">
        <v>472</v>
      </c>
      <c r="I348" s="20"/>
      <c r="J348" s="90">
        <v>44606.0</v>
      </c>
      <c r="K348" s="90">
        <v>44832.0</v>
      </c>
      <c r="L348" s="20"/>
      <c r="M348" s="38" t="s">
        <v>264</v>
      </c>
    </row>
    <row r="349" ht="22.5" customHeight="1">
      <c r="A349" s="20">
        <v>2022.0</v>
      </c>
      <c r="B349" s="20" t="s">
        <v>21</v>
      </c>
      <c r="C349" s="71" t="s">
        <v>849</v>
      </c>
      <c r="D349" s="20">
        <v>3.0821534E7</v>
      </c>
      <c r="E349" s="20" t="s">
        <v>850</v>
      </c>
      <c r="F349" s="20">
        <v>4.166354828E9</v>
      </c>
      <c r="G349" s="90">
        <v>44695.0</v>
      </c>
      <c r="H349" s="20" t="s">
        <v>472</v>
      </c>
      <c r="I349" s="20"/>
      <c r="J349" s="90">
        <v>44744.0</v>
      </c>
      <c r="K349" s="90">
        <v>44757.0</v>
      </c>
      <c r="L349" s="20"/>
      <c r="M349" s="38" t="s">
        <v>264</v>
      </c>
    </row>
    <row r="350" ht="22.5" customHeight="1">
      <c r="A350" s="113">
        <v>2022.0</v>
      </c>
      <c r="B350" s="113" t="s">
        <v>300</v>
      </c>
      <c r="C350" s="127" t="s">
        <v>851</v>
      </c>
      <c r="D350" s="132">
        <v>3.1448281E7</v>
      </c>
      <c r="E350" s="113" t="s">
        <v>852</v>
      </c>
      <c r="F350" s="113">
        <v>4.241538103E9</v>
      </c>
      <c r="G350" s="134">
        <v>44700.0</v>
      </c>
      <c r="H350" s="113" t="s">
        <v>68</v>
      </c>
      <c r="I350" s="113"/>
      <c r="J350" s="113"/>
      <c r="K350" s="113"/>
      <c r="L350" s="113"/>
      <c r="M350" s="116" t="s">
        <v>586</v>
      </c>
      <c r="N350" s="117"/>
      <c r="O350" s="117"/>
      <c r="P350" s="117"/>
      <c r="Q350" s="117"/>
      <c r="R350" s="117"/>
      <c r="S350" s="117"/>
      <c r="T350" s="117"/>
      <c r="U350" s="117"/>
      <c r="V350" s="117"/>
      <c r="W350" s="117"/>
      <c r="X350" s="117"/>
      <c r="Y350" s="117"/>
      <c r="Z350" s="117"/>
    </row>
    <row r="351" ht="22.5" customHeight="1">
      <c r="A351" s="20">
        <v>2022.0</v>
      </c>
      <c r="B351" s="20" t="s">
        <v>21</v>
      </c>
      <c r="C351" s="71" t="s">
        <v>853</v>
      </c>
      <c r="D351" s="119">
        <v>3.0715067E7</v>
      </c>
      <c r="E351" s="20" t="s">
        <v>854</v>
      </c>
      <c r="F351" s="20" t="s">
        <v>855</v>
      </c>
      <c r="G351" s="90">
        <v>44387.0</v>
      </c>
      <c r="H351" s="20" t="s">
        <v>457</v>
      </c>
      <c r="I351" s="20"/>
      <c r="J351" s="90">
        <v>44397.0</v>
      </c>
      <c r="K351" s="20"/>
      <c r="L351" s="20"/>
      <c r="M351" s="38" t="s">
        <v>264</v>
      </c>
    </row>
    <row r="352" ht="22.5" customHeight="1">
      <c r="A352" s="20">
        <v>2022.0</v>
      </c>
      <c r="B352" s="20" t="s">
        <v>21</v>
      </c>
      <c r="C352" s="71" t="s">
        <v>856</v>
      </c>
      <c r="D352" s="20">
        <v>3.0407985E7</v>
      </c>
      <c r="E352" s="20" t="s">
        <v>857</v>
      </c>
      <c r="F352" s="20">
        <v>4.241483488E9</v>
      </c>
      <c r="G352" s="90">
        <v>44541.0</v>
      </c>
      <c r="H352" s="20" t="s">
        <v>457</v>
      </c>
      <c r="I352" s="20"/>
      <c r="J352" s="90">
        <v>44600.0</v>
      </c>
      <c r="K352" s="20"/>
      <c r="L352" s="20"/>
      <c r="M352" s="38" t="s">
        <v>264</v>
      </c>
    </row>
    <row r="353" ht="22.5" customHeight="1">
      <c r="A353" s="20">
        <v>2023.0</v>
      </c>
      <c r="B353" s="20" t="s">
        <v>21</v>
      </c>
      <c r="C353" s="71" t="s">
        <v>858</v>
      </c>
      <c r="D353" s="41">
        <v>3.2104559E7</v>
      </c>
      <c r="E353" s="33" t="s">
        <v>859</v>
      </c>
      <c r="F353" s="24" t="s">
        <v>860</v>
      </c>
      <c r="G353" s="111">
        <v>45120.0</v>
      </c>
      <c r="H353" s="20" t="s">
        <v>811</v>
      </c>
      <c r="I353" s="20"/>
      <c r="J353" s="111">
        <v>45139.0</v>
      </c>
      <c r="K353" s="111">
        <v>45159.0</v>
      </c>
      <c r="L353" s="139" t="s">
        <v>861</v>
      </c>
      <c r="M353" s="38" t="s">
        <v>264</v>
      </c>
    </row>
    <row r="354" ht="22.5" customHeight="1">
      <c r="A354" s="20">
        <v>2023.0</v>
      </c>
      <c r="B354" s="20" t="s">
        <v>21</v>
      </c>
      <c r="C354" s="71" t="s">
        <v>862</v>
      </c>
      <c r="D354" s="41">
        <v>3.1867271E7</v>
      </c>
      <c r="E354" s="24" t="s">
        <v>863</v>
      </c>
      <c r="F354" s="24">
        <v>4.241749689E9</v>
      </c>
      <c r="G354" s="111">
        <v>45120.0</v>
      </c>
      <c r="H354" s="20" t="s">
        <v>811</v>
      </c>
      <c r="I354" s="20"/>
      <c r="J354" s="111">
        <v>45139.0</v>
      </c>
      <c r="K354" s="111">
        <v>45174.0</v>
      </c>
      <c r="L354" s="139" t="s">
        <v>864</v>
      </c>
      <c r="M354" s="38" t="s">
        <v>264</v>
      </c>
    </row>
    <row r="355" ht="22.5" customHeight="1">
      <c r="A355" s="20">
        <v>2023.0</v>
      </c>
      <c r="B355" s="20" t="s">
        <v>21</v>
      </c>
      <c r="C355" s="71" t="s">
        <v>865</v>
      </c>
      <c r="D355" s="41">
        <v>3.2375332E7</v>
      </c>
      <c r="E355" s="33" t="s">
        <v>866</v>
      </c>
      <c r="F355" s="24" t="s">
        <v>867</v>
      </c>
      <c r="G355" s="111">
        <v>45120.0</v>
      </c>
      <c r="H355" s="20" t="s">
        <v>243</v>
      </c>
      <c r="I355" s="20"/>
      <c r="J355" s="111">
        <v>45145.0</v>
      </c>
      <c r="K355" s="111">
        <v>45177.0</v>
      </c>
      <c r="L355" s="139" t="s">
        <v>868</v>
      </c>
      <c r="M355" s="38" t="s">
        <v>264</v>
      </c>
    </row>
    <row r="356" ht="22.5" customHeight="1">
      <c r="A356" s="20">
        <v>2023.0</v>
      </c>
      <c r="B356" s="24" t="s">
        <v>21</v>
      </c>
      <c r="C356" s="71" t="s">
        <v>869</v>
      </c>
      <c r="D356" s="41">
        <v>3.1587274E7</v>
      </c>
      <c r="E356" s="33" t="s">
        <v>870</v>
      </c>
      <c r="F356" s="24" t="s">
        <v>871</v>
      </c>
      <c r="G356" s="111">
        <v>44882.0</v>
      </c>
      <c r="H356" s="20" t="s">
        <v>872</v>
      </c>
      <c r="I356" s="20"/>
      <c r="J356" s="20"/>
      <c r="K356" s="140">
        <v>45020.0</v>
      </c>
      <c r="L356" s="139" t="s">
        <v>873</v>
      </c>
      <c r="M356" s="38" t="s">
        <v>264</v>
      </c>
    </row>
    <row r="357" ht="22.5" customHeight="1">
      <c r="A357" s="20">
        <v>2023.0</v>
      </c>
      <c r="B357" s="24" t="s">
        <v>21</v>
      </c>
      <c r="C357" s="71" t="s">
        <v>874</v>
      </c>
      <c r="D357" s="41">
        <v>3.3390664E7</v>
      </c>
      <c r="E357" s="24" t="s">
        <v>875</v>
      </c>
      <c r="F357" s="24" t="s">
        <v>876</v>
      </c>
      <c r="G357" s="35">
        <v>44940.0</v>
      </c>
      <c r="H357" s="20" t="s">
        <v>68</v>
      </c>
      <c r="I357" s="20"/>
      <c r="J357" s="35">
        <v>44956.0</v>
      </c>
      <c r="K357" s="35">
        <v>45152.0</v>
      </c>
      <c r="L357" s="139" t="s">
        <v>873</v>
      </c>
      <c r="M357" s="38" t="s">
        <v>264</v>
      </c>
    </row>
    <row r="358" ht="22.5" customHeight="1">
      <c r="A358" s="20">
        <v>2023.0</v>
      </c>
      <c r="B358" s="24" t="s">
        <v>21</v>
      </c>
      <c r="C358" s="71" t="s">
        <v>877</v>
      </c>
      <c r="D358" s="41">
        <v>3.3390663E7</v>
      </c>
      <c r="E358" s="24" t="s">
        <v>878</v>
      </c>
      <c r="F358" s="24" t="s">
        <v>879</v>
      </c>
      <c r="G358" s="35">
        <v>44940.0</v>
      </c>
      <c r="H358" s="20" t="s">
        <v>68</v>
      </c>
      <c r="I358" s="20"/>
      <c r="J358" s="35">
        <v>44956.0</v>
      </c>
      <c r="K358" s="35">
        <v>45152.0</v>
      </c>
      <c r="L358" s="139" t="s">
        <v>873</v>
      </c>
      <c r="M358" s="38" t="s">
        <v>264</v>
      </c>
    </row>
    <row r="359" ht="22.5" customHeight="1">
      <c r="A359" s="20">
        <v>2023.0</v>
      </c>
      <c r="B359" s="24" t="s">
        <v>21</v>
      </c>
      <c r="C359" s="71" t="s">
        <v>880</v>
      </c>
      <c r="D359" s="41">
        <v>3.0538837E7</v>
      </c>
      <c r="E359" s="24" t="s">
        <v>881</v>
      </c>
      <c r="F359" s="24">
        <v>4.242029797E9</v>
      </c>
      <c r="G359" s="35">
        <v>44989.0</v>
      </c>
      <c r="H359" s="20" t="s">
        <v>457</v>
      </c>
      <c r="I359" s="20"/>
      <c r="J359" s="35">
        <v>45009.0</v>
      </c>
      <c r="K359" s="35">
        <v>45070.0</v>
      </c>
      <c r="L359" s="20"/>
      <c r="M359" s="38" t="s">
        <v>264</v>
      </c>
    </row>
    <row r="360" ht="22.5" customHeight="1">
      <c r="A360" s="20">
        <v>2023.0</v>
      </c>
      <c r="B360" s="24" t="s">
        <v>21</v>
      </c>
      <c r="C360" s="71" t="s">
        <v>882</v>
      </c>
      <c r="D360" s="24">
        <v>3.0719491E7</v>
      </c>
      <c r="E360" s="33" t="s">
        <v>883</v>
      </c>
      <c r="F360" s="24">
        <v>4.165198885E9</v>
      </c>
      <c r="G360" s="35">
        <v>45045.0</v>
      </c>
      <c r="H360" s="20" t="s">
        <v>457</v>
      </c>
      <c r="I360" s="20"/>
      <c r="J360" s="35">
        <v>45070.0</v>
      </c>
      <c r="K360" s="35">
        <v>45070.0</v>
      </c>
      <c r="L360" s="20"/>
      <c r="M360" s="38" t="s">
        <v>264</v>
      </c>
    </row>
    <row r="361" ht="22.5" customHeight="1">
      <c r="A361" s="20">
        <v>2023.0</v>
      </c>
      <c r="B361" s="24" t="s">
        <v>21</v>
      </c>
      <c r="C361" s="71" t="s">
        <v>884</v>
      </c>
      <c r="D361" s="41">
        <v>3.11128E7</v>
      </c>
      <c r="E361" s="24" t="s">
        <v>885</v>
      </c>
      <c r="F361" s="24">
        <v>4.26214511E9</v>
      </c>
      <c r="G361" s="140">
        <v>44882.0</v>
      </c>
      <c r="H361" s="20" t="s">
        <v>886</v>
      </c>
      <c r="I361" s="20"/>
      <c r="J361" s="140">
        <v>44890.0</v>
      </c>
      <c r="K361" s="20"/>
      <c r="L361" s="20"/>
      <c r="M361" s="38" t="s">
        <v>264</v>
      </c>
    </row>
    <row r="362" ht="22.5" customHeight="1">
      <c r="A362" s="20">
        <v>2023.0</v>
      </c>
      <c r="B362" s="24" t="s">
        <v>21</v>
      </c>
      <c r="C362" s="71" t="s">
        <v>887</v>
      </c>
      <c r="D362" s="41">
        <v>3.1112799E7</v>
      </c>
      <c r="E362" s="24" t="s">
        <v>888</v>
      </c>
      <c r="F362" s="24">
        <v>4.169127011E9</v>
      </c>
      <c r="G362" s="140">
        <v>44882.0</v>
      </c>
      <c r="H362" s="20" t="s">
        <v>886</v>
      </c>
      <c r="I362" s="20"/>
      <c r="J362" s="140">
        <v>44890.0</v>
      </c>
      <c r="K362" s="20"/>
      <c r="L362" s="20"/>
      <c r="M362" s="38" t="s">
        <v>264</v>
      </c>
    </row>
    <row r="363" ht="22.5" customHeight="1">
      <c r="A363" s="20">
        <v>2023.0</v>
      </c>
      <c r="B363" s="24" t="s">
        <v>21</v>
      </c>
      <c r="C363" s="71" t="s">
        <v>889</v>
      </c>
      <c r="D363" s="41">
        <v>3.0849312E7</v>
      </c>
      <c r="E363" s="24" t="s">
        <v>890</v>
      </c>
      <c r="F363" s="121" t="s">
        <v>891</v>
      </c>
      <c r="G363" s="140">
        <v>44882.0</v>
      </c>
      <c r="H363" s="20" t="s">
        <v>892</v>
      </c>
      <c r="I363" s="20"/>
      <c r="J363" s="35">
        <v>44937.0</v>
      </c>
      <c r="K363" s="35">
        <v>45007.0</v>
      </c>
      <c r="L363" s="24" t="s">
        <v>893</v>
      </c>
      <c r="M363" s="38" t="s">
        <v>264</v>
      </c>
    </row>
    <row r="364" ht="22.5" customHeight="1">
      <c r="A364" s="20">
        <v>2024.0</v>
      </c>
      <c r="B364" s="20" t="s">
        <v>495</v>
      </c>
      <c r="C364" s="71" t="s">
        <v>894</v>
      </c>
      <c r="D364" s="119">
        <v>3.5072424E7</v>
      </c>
      <c r="E364" s="20" t="s">
        <v>895</v>
      </c>
      <c r="F364" s="20" t="s">
        <v>896</v>
      </c>
      <c r="G364" s="90">
        <v>45330.0</v>
      </c>
      <c r="H364" s="20" t="s">
        <v>767</v>
      </c>
      <c r="I364" s="20"/>
      <c r="J364" s="90">
        <v>45727.0</v>
      </c>
      <c r="K364" s="20"/>
      <c r="L364" s="138" t="s">
        <v>897</v>
      </c>
      <c r="M364" s="38" t="s">
        <v>264</v>
      </c>
    </row>
    <row r="365" ht="22.5" customHeight="1">
      <c r="A365" s="20">
        <v>2024.0</v>
      </c>
      <c r="B365" s="20" t="s">
        <v>21</v>
      </c>
      <c r="C365" s="71" t="s">
        <v>898</v>
      </c>
      <c r="D365" s="119">
        <v>3.2517744E7</v>
      </c>
      <c r="E365" s="20" t="s">
        <v>899</v>
      </c>
      <c r="F365" s="20" t="s">
        <v>900</v>
      </c>
      <c r="G365" s="90">
        <v>45476.0</v>
      </c>
      <c r="H365" s="20" t="s">
        <v>276</v>
      </c>
      <c r="I365" s="20"/>
      <c r="J365" s="141">
        <v>45496.0</v>
      </c>
      <c r="K365" s="141">
        <v>45561.0</v>
      </c>
      <c r="L365" s="20"/>
      <c r="M365" s="38" t="s">
        <v>264</v>
      </c>
    </row>
    <row r="366" ht="22.5" customHeight="1">
      <c r="A366" s="20">
        <v>2024.0</v>
      </c>
      <c r="B366" s="20" t="s">
        <v>21</v>
      </c>
      <c r="C366" s="71" t="s">
        <v>901</v>
      </c>
      <c r="D366" s="119">
        <v>3.2333797E7</v>
      </c>
      <c r="E366" s="20" t="s">
        <v>902</v>
      </c>
      <c r="F366" s="20" t="s">
        <v>903</v>
      </c>
      <c r="G366" s="90">
        <v>45120.0</v>
      </c>
      <c r="H366" s="20" t="s">
        <v>904</v>
      </c>
      <c r="I366" s="20"/>
      <c r="J366" s="90">
        <v>45579.0</v>
      </c>
      <c r="K366" s="90">
        <v>45583.0</v>
      </c>
      <c r="L366" s="20"/>
      <c r="M366" s="38" t="s">
        <v>264</v>
      </c>
    </row>
    <row r="367" ht="22.5" customHeight="1">
      <c r="A367" s="113">
        <v>2024.0</v>
      </c>
      <c r="B367" s="113" t="s">
        <v>300</v>
      </c>
      <c r="C367" s="127" t="s">
        <v>905</v>
      </c>
      <c r="D367" s="132">
        <v>3.1823847E7</v>
      </c>
      <c r="E367" s="113" t="s">
        <v>906</v>
      </c>
      <c r="F367" s="113">
        <v>4.125550373E9</v>
      </c>
      <c r="G367" s="134">
        <v>45476.0</v>
      </c>
      <c r="H367" s="113" t="s">
        <v>392</v>
      </c>
      <c r="I367" s="113"/>
      <c r="J367" s="134">
        <v>45504.0</v>
      </c>
      <c r="K367" s="113"/>
      <c r="L367" s="113" t="s">
        <v>907</v>
      </c>
      <c r="M367" s="116" t="s">
        <v>586</v>
      </c>
      <c r="N367" s="117"/>
      <c r="O367" s="117"/>
      <c r="P367" s="117"/>
      <c r="Q367" s="117"/>
      <c r="R367" s="117"/>
      <c r="S367" s="117"/>
      <c r="T367" s="117"/>
      <c r="U367" s="117"/>
      <c r="V367" s="117"/>
      <c r="W367" s="117"/>
      <c r="X367" s="117"/>
      <c r="Y367" s="117"/>
      <c r="Z367" s="117"/>
    </row>
    <row r="368" ht="22.5" customHeight="1">
      <c r="A368" s="20">
        <v>2024.0</v>
      </c>
      <c r="B368" s="20" t="s">
        <v>21</v>
      </c>
      <c r="C368" s="71" t="s">
        <v>908</v>
      </c>
      <c r="D368" s="119">
        <v>3.0719207E7</v>
      </c>
      <c r="E368" s="20" t="s">
        <v>909</v>
      </c>
      <c r="F368" s="20" t="s">
        <v>910</v>
      </c>
      <c r="G368" s="90">
        <v>45406.0</v>
      </c>
      <c r="H368" s="20" t="s">
        <v>162</v>
      </c>
      <c r="I368" s="20"/>
      <c r="J368" s="90">
        <v>45425.0</v>
      </c>
      <c r="K368" s="90">
        <v>45439.0</v>
      </c>
      <c r="L368" s="20"/>
      <c r="M368" s="38" t="s">
        <v>264</v>
      </c>
    </row>
    <row r="369" ht="22.5" customHeight="1">
      <c r="A369" s="20">
        <v>2024.0</v>
      </c>
      <c r="B369" s="20" t="s">
        <v>300</v>
      </c>
      <c r="C369" s="71" t="s">
        <v>911</v>
      </c>
      <c r="D369" s="119">
        <v>3.3217944E7</v>
      </c>
      <c r="E369" s="20" t="s">
        <v>912</v>
      </c>
      <c r="F369" s="20">
        <v>4.128903083E9</v>
      </c>
      <c r="G369" s="90">
        <v>45427.0</v>
      </c>
      <c r="H369" s="20" t="s">
        <v>913</v>
      </c>
      <c r="I369" s="20"/>
      <c r="J369" s="90">
        <v>45439.0</v>
      </c>
      <c r="K369" s="90">
        <v>45440.0</v>
      </c>
      <c r="L369" s="20" t="s">
        <v>914</v>
      </c>
      <c r="M369" s="38" t="s">
        <v>264</v>
      </c>
    </row>
    <row r="370" ht="22.5" customHeight="1">
      <c r="A370" s="20">
        <v>2024.0</v>
      </c>
      <c r="B370" s="20" t="s">
        <v>21</v>
      </c>
      <c r="C370" s="71" t="s">
        <v>915</v>
      </c>
      <c r="D370" s="119">
        <v>3.2697443E7</v>
      </c>
      <c r="E370" s="20" t="s">
        <v>916</v>
      </c>
      <c r="F370" s="20" t="s">
        <v>917</v>
      </c>
      <c r="G370" s="90">
        <v>45330.0</v>
      </c>
      <c r="H370" s="20" t="s">
        <v>815</v>
      </c>
      <c r="I370" s="20"/>
      <c r="J370" s="90">
        <v>45349.0</v>
      </c>
      <c r="K370" s="90">
        <v>45397.0</v>
      </c>
      <c r="L370" s="20"/>
      <c r="M370" s="38" t="s">
        <v>264</v>
      </c>
    </row>
    <row r="371" ht="22.5" customHeight="1">
      <c r="A371" s="20">
        <v>2024.0</v>
      </c>
      <c r="B371" s="20" t="s">
        <v>300</v>
      </c>
      <c r="C371" s="71" t="s">
        <v>918</v>
      </c>
      <c r="D371" s="20"/>
      <c r="E371" s="112" t="s">
        <v>919</v>
      </c>
      <c r="F371" s="20">
        <v>4.242723576E9</v>
      </c>
      <c r="G371" s="90">
        <v>45309.0</v>
      </c>
      <c r="H371" s="20" t="s">
        <v>920</v>
      </c>
      <c r="I371" s="20"/>
      <c r="J371" s="90">
        <v>45342.0</v>
      </c>
      <c r="K371" s="90">
        <v>45386.0</v>
      </c>
      <c r="L371" s="20" t="s">
        <v>921</v>
      </c>
      <c r="M371" s="38" t="s">
        <v>264</v>
      </c>
    </row>
    <row r="372" ht="22.5" customHeight="1">
      <c r="A372" s="20">
        <v>2024.0</v>
      </c>
      <c r="B372" s="20" t="s">
        <v>21</v>
      </c>
      <c r="C372" s="71" t="s">
        <v>922</v>
      </c>
      <c r="D372" s="119">
        <v>3.2011397E7</v>
      </c>
      <c r="E372" s="20" t="s">
        <v>923</v>
      </c>
      <c r="F372" s="20" t="s">
        <v>924</v>
      </c>
      <c r="G372" s="90">
        <v>45309.0</v>
      </c>
      <c r="H372" s="20" t="s">
        <v>229</v>
      </c>
      <c r="I372" s="20"/>
      <c r="J372" s="90">
        <v>45341.0</v>
      </c>
      <c r="K372" s="90">
        <v>45370.0</v>
      </c>
      <c r="L372" s="20"/>
      <c r="M372" s="38" t="s">
        <v>264</v>
      </c>
    </row>
    <row r="373" ht="22.5" customHeight="1">
      <c r="A373" s="20">
        <v>2024.0</v>
      </c>
      <c r="B373" s="20" t="s">
        <v>21</v>
      </c>
      <c r="C373" s="71" t="s">
        <v>925</v>
      </c>
      <c r="D373" s="119">
        <v>3.2348704E7</v>
      </c>
      <c r="E373" s="20" t="s">
        <v>926</v>
      </c>
      <c r="F373" s="20" t="s">
        <v>927</v>
      </c>
      <c r="G373" s="90">
        <v>45310.0</v>
      </c>
      <c r="H373" s="20" t="s">
        <v>331</v>
      </c>
      <c r="I373" s="20"/>
      <c r="J373" s="90">
        <v>45327.0</v>
      </c>
      <c r="K373" s="90">
        <v>45418.0</v>
      </c>
      <c r="L373" s="20"/>
      <c r="M373" s="38" t="s">
        <v>264</v>
      </c>
    </row>
    <row r="374" ht="22.5" customHeight="1">
      <c r="A374" s="20">
        <v>2024.0</v>
      </c>
      <c r="B374" s="20" t="s">
        <v>21</v>
      </c>
      <c r="C374" s="71" t="s">
        <v>928</v>
      </c>
      <c r="D374" s="119">
        <v>3.1101237E7</v>
      </c>
      <c r="E374" s="20" t="s">
        <v>929</v>
      </c>
      <c r="F374" s="20" t="s">
        <v>930</v>
      </c>
      <c r="G374" s="90">
        <v>45309.0</v>
      </c>
      <c r="H374" s="20" t="s">
        <v>334</v>
      </c>
      <c r="I374" s="20"/>
      <c r="J374" s="90">
        <v>45328.0</v>
      </c>
      <c r="K374" s="90">
        <v>45397.0</v>
      </c>
      <c r="L374" s="20" t="s">
        <v>931</v>
      </c>
      <c r="M374" s="38" t="s">
        <v>264</v>
      </c>
    </row>
    <row r="375" ht="22.5" customHeight="1">
      <c r="A375" s="20">
        <v>2024.0</v>
      </c>
      <c r="B375" s="20" t="s">
        <v>21</v>
      </c>
      <c r="C375" s="71" t="s">
        <v>932</v>
      </c>
      <c r="D375" s="119">
        <v>3.1383126E7</v>
      </c>
      <c r="E375" s="20" t="s">
        <v>933</v>
      </c>
      <c r="F375" s="20">
        <v>4.242109762E9</v>
      </c>
      <c r="G375" s="90">
        <v>45120.0</v>
      </c>
      <c r="H375" s="20" t="s">
        <v>341</v>
      </c>
      <c r="I375" s="20"/>
      <c r="J375" s="90">
        <v>45132.0</v>
      </c>
      <c r="K375" s="90">
        <v>45279.0</v>
      </c>
      <c r="L375" s="20">
        <v>96.5</v>
      </c>
      <c r="M375" s="38" t="s">
        <v>264</v>
      </c>
    </row>
    <row r="376" ht="22.5" customHeight="1">
      <c r="A376" s="20">
        <v>2025.0</v>
      </c>
      <c r="B376" s="20" t="s">
        <v>934</v>
      </c>
      <c r="C376" s="71" t="s">
        <v>935</v>
      </c>
      <c r="D376" s="119">
        <v>3.3068799E7</v>
      </c>
      <c r="E376" s="20" t="s">
        <v>936</v>
      </c>
      <c r="F376" s="20"/>
      <c r="G376" s="90">
        <v>45869.0</v>
      </c>
      <c r="H376" s="20" t="s">
        <v>937</v>
      </c>
      <c r="I376" s="20"/>
      <c r="J376" s="90">
        <v>45889.0</v>
      </c>
      <c r="K376" s="20"/>
      <c r="L376" s="20"/>
      <c r="M376" s="38" t="s">
        <v>264</v>
      </c>
    </row>
    <row r="377" ht="22.5" customHeight="1">
      <c r="A377" s="20">
        <v>2025.0</v>
      </c>
      <c r="B377" s="20" t="s">
        <v>934</v>
      </c>
      <c r="C377" s="71" t="s">
        <v>938</v>
      </c>
      <c r="D377" s="119">
        <v>3.2695982E7</v>
      </c>
      <c r="E377" s="20" t="s">
        <v>939</v>
      </c>
      <c r="F377" s="20" t="s">
        <v>940</v>
      </c>
      <c r="G377" s="90">
        <v>45869.0</v>
      </c>
      <c r="H377" s="20" t="s">
        <v>472</v>
      </c>
      <c r="I377" s="20"/>
      <c r="J377" s="90">
        <v>45887.0</v>
      </c>
      <c r="K377" s="20"/>
      <c r="L377" s="20"/>
      <c r="M377" s="38" t="s">
        <v>264</v>
      </c>
    </row>
    <row r="378" ht="22.5" customHeight="1">
      <c r="A378" s="20">
        <v>2025.0</v>
      </c>
      <c r="B378" s="20" t="s">
        <v>21</v>
      </c>
      <c r="C378" s="71" t="s">
        <v>941</v>
      </c>
      <c r="D378" s="119">
        <v>3.285849E7</v>
      </c>
      <c r="E378" s="20" t="s">
        <v>942</v>
      </c>
      <c r="F378" s="20" t="s">
        <v>943</v>
      </c>
      <c r="G378" s="90">
        <v>45685.0</v>
      </c>
      <c r="H378" s="20" t="s">
        <v>944</v>
      </c>
      <c r="I378" s="20"/>
      <c r="J378" s="90">
        <v>45707.0</v>
      </c>
      <c r="K378" s="90">
        <v>45805.0</v>
      </c>
      <c r="L378" s="20"/>
      <c r="M378" s="38" t="s">
        <v>264</v>
      </c>
    </row>
    <row r="379" ht="22.5" customHeight="1">
      <c r="A379" s="20">
        <v>2025.0</v>
      </c>
      <c r="B379" s="20" t="s">
        <v>260</v>
      </c>
      <c r="C379" s="71" t="s">
        <v>945</v>
      </c>
      <c r="D379" s="119">
        <v>3.308142E7</v>
      </c>
      <c r="E379" s="20" t="s">
        <v>946</v>
      </c>
      <c r="F379" s="20" t="s">
        <v>947</v>
      </c>
      <c r="G379" s="90">
        <v>45819.0</v>
      </c>
      <c r="H379" s="20" t="s">
        <v>948</v>
      </c>
      <c r="I379" s="20"/>
      <c r="J379" s="90">
        <v>45846.0</v>
      </c>
      <c r="K379" s="20"/>
      <c r="L379" s="20"/>
      <c r="M379" s="38" t="s">
        <v>264</v>
      </c>
    </row>
    <row r="380" ht="22.5" customHeight="1">
      <c r="A380" s="20">
        <v>2025.0</v>
      </c>
      <c r="B380" s="20" t="s">
        <v>260</v>
      </c>
      <c r="C380" s="71" t="s">
        <v>949</v>
      </c>
      <c r="D380" s="119">
        <v>3.2697826E7</v>
      </c>
      <c r="E380" s="20" t="s">
        <v>950</v>
      </c>
      <c r="F380" s="20" t="s">
        <v>951</v>
      </c>
      <c r="G380" s="90">
        <v>45819.0</v>
      </c>
      <c r="H380" s="20" t="s">
        <v>215</v>
      </c>
      <c r="I380" s="20"/>
      <c r="J380" s="90">
        <v>45838.0</v>
      </c>
      <c r="K380" s="20"/>
      <c r="L380" s="20"/>
      <c r="M380" s="38" t="s">
        <v>264</v>
      </c>
    </row>
    <row r="381" ht="22.5" customHeight="1">
      <c r="A381" s="113">
        <v>2025.0</v>
      </c>
      <c r="B381" s="113" t="s">
        <v>627</v>
      </c>
      <c r="C381" s="127" t="s">
        <v>952</v>
      </c>
      <c r="D381" s="132">
        <v>3.3609899E7</v>
      </c>
      <c r="E381" s="113" t="s">
        <v>953</v>
      </c>
      <c r="F381" s="113" t="s">
        <v>954</v>
      </c>
      <c r="G381" s="134">
        <v>45869.0</v>
      </c>
      <c r="H381" s="113" t="s">
        <v>215</v>
      </c>
      <c r="I381" s="113"/>
      <c r="J381" s="113"/>
      <c r="K381" s="113"/>
      <c r="L381" s="113"/>
      <c r="M381" s="116" t="s">
        <v>586</v>
      </c>
      <c r="N381" s="117"/>
      <c r="O381" s="117"/>
      <c r="P381" s="117"/>
      <c r="Q381" s="117"/>
      <c r="R381" s="117"/>
      <c r="S381" s="117"/>
      <c r="T381" s="117"/>
      <c r="U381" s="117"/>
      <c r="V381" s="117"/>
      <c r="W381" s="117"/>
      <c r="X381" s="117"/>
      <c r="Y381" s="117"/>
      <c r="Z381" s="117"/>
    </row>
    <row r="382" ht="22.5" customHeight="1">
      <c r="A382" s="20">
        <v>2025.0</v>
      </c>
      <c r="B382" s="20" t="s">
        <v>934</v>
      </c>
      <c r="C382" s="71" t="s">
        <v>955</v>
      </c>
      <c r="D382" s="119">
        <v>3.358318E7</v>
      </c>
      <c r="E382" s="20" t="s">
        <v>956</v>
      </c>
      <c r="F382" s="20" t="s">
        <v>957</v>
      </c>
      <c r="G382" s="90">
        <v>45869.0</v>
      </c>
      <c r="H382" s="20" t="s">
        <v>215</v>
      </c>
      <c r="I382" s="20"/>
      <c r="J382" s="90">
        <v>45898.0</v>
      </c>
      <c r="K382" s="20"/>
      <c r="L382" s="20"/>
      <c r="M382" s="38" t="s">
        <v>264</v>
      </c>
    </row>
    <row r="383" ht="22.5" customHeight="1">
      <c r="A383" s="113">
        <v>2025.0</v>
      </c>
      <c r="B383" s="113" t="s">
        <v>934</v>
      </c>
      <c r="C383" s="127" t="s">
        <v>958</v>
      </c>
      <c r="D383" s="132">
        <v>3.2643585E7</v>
      </c>
      <c r="E383" s="113" t="s">
        <v>959</v>
      </c>
      <c r="F383" s="113" t="s">
        <v>960</v>
      </c>
      <c r="G383" s="134">
        <v>45869.0</v>
      </c>
      <c r="H383" s="113" t="s">
        <v>215</v>
      </c>
      <c r="I383" s="113"/>
      <c r="J383" s="134">
        <v>45896.0</v>
      </c>
      <c r="K383" s="113"/>
      <c r="L383" s="113"/>
      <c r="M383" s="116" t="s">
        <v>606</v>
      </c>
      <c r="N383" s="117"/>
      <c r="O383" s="117"/>
      <c r="P383" s="117"/>
      <c r="Q383" s="117"/>
      <c r="R383" s="117"/>
      <c r="S383" s="117"/>
      <c r="T383" s="117"/>
      <c r="U383" s="117"/>
      <c r="V383" s="117"/>
      <c r="W383" s="117"/>
      <c r="X383" s="117"/>
      <c r="Y383" s="117"/>
      <c r="Z383" s="117"/>
    </row>
    <row r="384" ht="22.5" customHeight="1">
      <c r="A384" s="20">
        <v>2025.0</v>
      </c>
      <c r="B384" s="20" t="s">
        <v>934</v>
      </c>
      <c r="C384" s="71" t="s">
        <v>961</v>
      </c>
      <c r="D384" s="119">
        <v>3.3548385E7</v>
      </c>
      <c r="E384" s="20" t="s">
        <v>962</v>
      </c>
      <c r="F384" s="20" t="s">
        <v>963</v>
      </c>
      <c r="G384" s="90">
        <v>45736.0</v>
      </c>
      <c r="H384" s="20" t="s">
        <v>920</v>
      </c>
      <c r="I384" s="20"/>
      <c r="J384" s="90">
        <v>45749.0</v>
      </c>
      <c r="K384" s="20"/>
      <c r="L384" s="20"/>
      <c r="M384" s="38" t="s">
        <v>264</v>
      </c>
    </row>
    <row r="385" ht="22.5" customHeight="1">
      <c r="A385" s="20">
        <v>2025.0</v>
      </c>
      <c r="B385" s="20" t="s">
        <v>260</v>
      </c>
      <c r="C385" s="131" t="s">
        <v>964</v>
      </c>
      <c r="D385" s="119">
        <v>3.667098E7</v>
      </c>
      <c r="E385" s="20" t="s">
        <v>965</v>
      </c>
      <c r="F385" s="20" t="s">
        <v>966</v>
      </c>
      <c r="G385" s="90">
        <v>45685.0</v>
      </c>
      <c r="H385" s="20" t="s">
        <v>508</v>
      </c>
      <c r="I385" s="20"/>
      <c r="J385" s="90">
        <v>45698.0</v>
      </c>
      <c r="K385" s="20"/>
      <c r="L385" s="139" t="s">
        <v>868</v>
      </c>
      <c r="M385" s="38" t="s">
        <v>264</v>
      </c>
    </row>
    <row r="386" ht="22.5" customHeight="1">
      <c r="A386" s="20">
        <v>2025.0</v>
      </c>
      <c r="B386" s="20" t="s">
        <v>260</v>
      </c>
      <c r="C386" s="71" t="s">
        <v>967</v>
      </c>
      <c r="D386" s="119">
        <v>3.3113085E7</v>
      </c>
      <c r="E386" s="20" t="s">
        <v>968</v>
      </c>
      <c r="F386" s="20">
        <v>4.129361093E9</v>
      </c>
      <c r="G386" s="90">
        <v>45819.0</v>
      </c>
      <c r="H386" s="20" t="s">
        <v>508</v>
      </c>
      <c r="I386" s="20"/>
      <c r="J386" s="90">
        <v>45845.0</v>
      </c>
      <c r="K386" s="20"/>
      <c r="L386" s="139" t="s">
        <v>969</v>
      </c>
      <c r="M386" s="38" t="s">
        <v>264</v>
      </c>
    </row>
    <row r="387" ht="22.5" customHeight="1">
      <c r="A387" s="20">
        <v>2025.0</v>
      </c>
      <c r="B387" s="20" t="s">
        <v>260</v>
      </c>
      <c r="C387" s="71" t="s">
        <v>970</v>
      </c>
      <c r="D387" s="119">
        <v>3.250332E7</v>
      </c>
      <c r="E387" s="20" t="s">
        <v>971</v>
      </c>
      <c r="F387" s="20">
        <v>4.24179839E9</v>
      </c>
      <c r="G387" s="90">
        <v>45819.0</v>
      </c>
      <c r="H387" s="20" t="s">
        <v>508</v>
      </c>
      <c r="I387" s="20"/>
      <c r="J387" s="90">
        <v>45860.0</v>
      </c>
      <c r="K387" s="20"/>
      <c r="L387" s="139" t="s">
        <v>972</v>
      </c>
      <c r="M387" s="38" t="s">
        <v>264</v>
      </c>
    </row>
    <row r="388" ht="22.5" customHeight="1">
      <c r="A388" s="20">
        <v>2025.0</v>
      </c>
      <c r="B388" s="20" t="s">
        <v>934</v>
      </c>
      <c r="C388" s="71" t="s">
        <v>973</v>
      </c>
      <c r="D388" s="119">
        <v>3.4356467E7</v>
      </c>
      <c r="E388" s="20" t="s">
        <v>974</v>
      </c>
      <c r="F388" s="20">
        <v>4.147774717E9</v>
      </c>
      <c r="G388" s="90">
        <v>45819.0</v>
      </c>
      <c r="H388" s="20" t="s">
        <v>508</v>
      </c>
      <c r="I388" s="20"/>
      <c r="J388" s="90">
        <v>45861.0</v>
      </c>
      <c r="K388" s="20"/>
      <c r="L388" s="139" t="s">
        <v>975</v>
      </c>
      <c r="M388" s="38" t="s">
        <v>264</v>
      </c>
    </row>
    <row r="389" ht="22.5" customHeight="1">
      <c r="A389" s="20">
        <v>2025.0</v>
      </c>
      <c r="B389" s="20" t="s">
        <v>934</v>
      </c>
      <c r="C389" s="71" t="s">
        <v>976</v>
      </c>
      <c r="D389" s="119">
        <v>3.2877525E7</v>
      </c>
      <c r="E389" s="20" t="s">
        <v>977</v>
      </c>
      <c r="F389" s="20">
        <v>4.125421414E9</v>
      </c>
      <c r="G389" s="90">
        <v>45819.0</v>
      </c>
      <c r="H389" s="20" t="s">
        <v>508</v>
      </c>
      <c r="I389" s="20"/>
      <c r="J389" s="90">
        <v>45880.0</v>
      </c>
      <c r="K389" s="20"/>
      <c r="L389" s="24"/>
      <c r="M389" s="38" t="s">
        <v>264</v>
      </c>
    </row>
    <row r="390" ht="22.5" customHeight="1">
      <c r="A390" s="20">
        <v>2025.0</v>
      </c>
      <c r="B390" s="20" t="s">
        <v>21</v>
      </c>
      <c r="C390" s="71" t="s">
        <v>978</v>
      </c>
      <c r="D390" s="20">
        <v>3.2055808E7</v>
      </c>
      <c r="E390" s="112" t="s">
        <v>979</v>
      </c>
      <c r="F390" s="20">
        <v>4.127190393E9</v>
      </c>
      <c r="G390" s="111">
        <v>45736.0</v>
      </c>
      <c r="H390" s="20" t="s">
        <v>980</v>
      </c>
      <c r="I390" s="20"/>
      <c r="J390" s="111">
        <v>45750.0</v>
      </c>
      <c r="K390" s="111">
        <v>45805.0</v>
      </c>
      <c r="L390" s="139" t="s">
        <v>981</v>
      </c>
      <c r="M390" s="38" t="s">
        <v>264</v>
      </c>
    </row>
    <row r="391" ht="22.5" customHeight="1">
      <c r="A391" s="20">
        <v>2025.0</v>
      </c>
      <c r="B391" s="20" t="s">
        <v>260</v>
      </c>
      <c r="C391" s="71" t="s">
        <v>982</v>
      </c>
      <c r="D391" s="119"/>
      <c r="E391" s="20" t="s">
        <v>983</v>
      </c>
      <c r="F391" s="20">
        <v>4.123367714E9</v>
      </c>
      <c r="G391" s="111">
        <v>45736.0</v>
      </c>
      <c r="H391" s="20" t="s">
        <v>276</v>
      </c>
      <c r="I391" s="20"/>
      <c r="J391" s="111">
        <v>45754.0</v>
      </c>
      <c r="K391" s="20"/>
      <c r="L391" s="20"/>
      <c r="M391" s="38" t="s">
        <v>264</v>
      </c>
    </row>
    <row r="392" ht="22.5" customHeight="1">
      <c r="A392" s="20">
        <v>2025.0</v>
      </c>
      <c r="B392" s="20" t="s">
        <v>21</v>
      </c>
      <c r="C392" s="71" t="s">
        <v>984</v>
      </c>
      <c r="D392" s="119">
        <v>3.2697672E7</v>
      </c>
      <c r="E392" s="112" t="s">
        <v>985</v>
      </c>
      <c r="F392" s="20" t="s">
        <v>986</v>
      </c>
      <c r="G392" s="111">
        <v>45736.0</v>
      </c>
      <c r="H392" s="20" t="s">
        <v>987</v>
      </c>
      <c r="I392" s="20"/>
      <c r="J392" s="111">
        <v>45747.0</v>
      </c>
      <c r="K392" s="111">
        <v>45777.0</v>
      </c>
      <c r="L392" s="139" t="s">
        <v>988</v>
      </c>
      <c r="M392" s="38" t="s">
        <v>264</v>
      </c>
    </row>
    <row r="393" ht="22.5" customHeight="1">
      <c r="A393" s="20">
        <v>2025.0</v>
      </c>
      <c r="B393" s="20" t="s">
        <v>21</v>
      </c>
      <c r="C393" s="71" t="s">
        <v>989</v>
      </c>
      <c r="D393" s="119">
        <v>3.2683074E7</v>
      </c>
      <c r="E393" s="20" t="s">
        <v>990</v>
      </c>
      <c r="F393" s="20" t="s">
        <v>991</v>
      </c>
      <c r="G393" s="111">
        <v>45685.0</v>
      </c>
      <c r="H393" s="20" t="s">
        <v>992</v>
      </c>
      <c r="I393" s="20"/>
      <c r="J393" s="111">
        <v>45705.0</v>
      </c>
      <c r="K393" s="111">
        <v>45728.0</v>
      </c>
      <c r="L393" s="139" t="s">
        <v>993</v>
      </c>
      <c r="M393" s="38" t="s">
        <v>264</v>
      </c>
    </row>
    <row r="394" ht="22.5" customHeight="1">
      <c r="A394" s="20">
        <v>2025.0</v>
      </c>
      <c r="B394" s="20" t="s">
        <v>21</v>
      </c>
      <c r="C394" s="71" t="s">
        <v>994</v>
      </c>
      <c r="D394" s="119" t="s">
        <v>995</v>
      </c>
      <c r="E394" s="20" t="s">
        <v>996</v>
      </c>
      <c r="F394" s="142"/>
      <c r="G394" s="142">
        <v>45716.0</v>
      </c>
      <c r="H394" s="20" t="s">
        <v>659</v>
      </c>
      <c r="I394" s="20"/>
      <c r="J394" s="111">
        <v>45713.0</v>
      </c>
      <c r="K394" s="111">
        <v>45748.0</v>
      </c>
      <c r="L394" s="143">
        <v>45777.0</v>
      </c>
      <c r="M394" s="38" t="s">
        <v>264</v>
      </c>
    </row>
    <row r="395" ht="22.5" customHeight="1">
      <c r="A395" s="20">
        <v>2025.0</v>
      </c>
      <c r="B395" s="20" t="s">
        <v>21</v>
      </c>
      <c r="C395" s="71" t="s">
        <v>997</v>
      </c>
      <c r="D395" s="106">
        <v>3.3432888E7</v>
      </c>
      <c r="E395" s="71" t="s">
        <v>998</v>
      </c>
      <c r="F395" s="71">
        <v>4.142259339E9</v>
      </c>
      <c r="G395" s="111">
        <v>45631.0</v>
      </c>
      <c r="H395" s="20" t="s">
        <v>562</v>
      </c>
      <c r="I395" s="20"/>
      <c r="J395" s="111">
        <v>45642.0</v>
      </c>
      <c r="K395" s="111">
        <v>45705.0</v>
      </c>
      <c r="L395" s="20"/>
      <c r="M395" s="38" t="s">
        <v>264</v>
      </c>
    </row>
    <row r="396" ht="22.5" customHeight="1">
      <c r="A396" s="20">
        <v>2025.0</v>
      </c>
      <c r="B396" s="20" t="s">
        <v>21</v>
      </c>
      <c r="C396" s="71" t="s">
        <v>999</v>
      </c>
      <c r="D396" s="119">
        <v>3.4227727E7</v>
      </c>
      <c r="E396" s="20" t="s">
        <v>1000</v>
      </c>
      <c r="F396" s="20">
        <v>4.242512969E9</v>
      </c>
      <c r="G396" s="111">
        <v>45631.0</v>
      </c>
      <c r="H396" s="20" t="s">
        <v>562</v>
      </c>
      <c r="I396" s="20"/>
      <c r="J396" s="111">
        <v>45642.0</v>
      </c>
      <c r="K396" s="111">
        <v>45705.0</v>
      </c>
      <c r="L396" s="20"/>
      <c r="M396" s="38" t="s">
        <v>264</v>
      </c>
    </row>
    <row r="397" ht="22.5" customHeight="1">
      <c r="A397" s="20">
        <v>2025.0</v>
      </c>
      <c r="B397" s="20" t="s">
        <v>260</v>
      </c>
      <c r="C397" s="71" t="s">
        <v>1001</v>
      </c>
      <c r="D397" s="119">
        <v>3.2397515E7</v>
      </c>
      <c r="E397" s="20" t="s">
        <v>1002</v>
      </c>
      <c r="F397" s="20" t="s">
        <v>1003</v>
      </c>
      <c r="G397" s="111">
        <v>45736.0</v>
      </c>
      <c r="H397" s="20" t="s">
        <v>1004</v>
      </c>
      <c r="I397" s="20"/>
      <c r="J397" s="111">
        <v>45743.0</v>
      </c>
      <c r="K397" s="111"/>
      <c r="L397" s="139" t="s">
        <v>873</v>
      </c>
      <c r="M397" s="38" t="s">
        <v>264</v>
      </c>
    </row>
    <row r="398" ht="22.5" customHeight="1">
      <c r="A398" s="20">
        <v>2025.0</v>
      </c>
      <c r="B398" s="20" t="s">
        <v>21</v>
      </c>
      <c r="C398" s="71" t="s">
        <v>1005</v>
      </c>
      <c r="D398" s="119">
        <v>3.2960644E7</v>
      </c>
      <c r="E398" s="20" t="s">
        <v>1006</v>
      </c>
      <c r="F398" s="20" t="s">
        <v>1007</v>
      </c>
      <c r="G398" s="111">
        <v>45736.0</v>
      </c>
      <c r="H398" s="20" t="s">
        <v>1004</v>
      </c>
      <c r="I398" s="20"/>
      <c r="J398" s="111">
        <v>45743.0</v>
      </c>
      <c r="K398" s="111">
        <v>45820.0</v>
      </c>
      <c r="L398" s="139" t="s">
        <v>1008</v>
      </c>
      <c r="M398" s="38" t="s">
        <v>264</v>
      </c>
    </row>
    <row r="399" ht="22.5" customHeight="1">
      <c r="A399" s="113">
        <v>2025.0</v>
      </c>
      <c r="B399" s="113" t="s">
        <v>311</v>
      </c>
      <c r="C399" s="127" t="s">
        <v>1009</v>
      </c>
      <c r="D399" s="132">
        <v>3.1448794E7</v>
      </c>
      <c r="E399" s="127" t="s">
        <v>1010</v>
      </c>
      <c r="F399" s="113">
        <v>4.127019034E9</v>
      </c>
      <c r="G399" s="124">
        <v>45385.0</v>
      </c>
      <c r="H399" s="113" t="s">
        <v>234</v>
      </c>
      <c r="I399" s="113"/>
      <c r="J399" s="144"/>
      <c r="K399" s="145"/>
      <c r="L399" s="113"/>
      <c r="M399" s="116" t="s">
        <v>836</v>
      </c>
      <c r="N399" s="117"/>
      <c r="O399" s="117"/>
      <c r="P399" s="117"/>
      <c r="Q399" s="117"/>
      <c r="R399" s="117"/>
      <c r="S399" s="117"/>
      <c r="T399" s="117"/>
      <c r="U399" s="117"/>
      <c r="V399" s="117"/>
      <c r="W399" s="117"/>
      <c r="X399" s="117"/>
      <c r="Y399" s="117"/>
      <c r="Z399" s="117"/>
    </row>
    <row r="400" ht="22.5" customHeight="1">
      <c r="A400" s="20">
        <v>2025.0</v>
      </c>
      <c r="B400" s="20" t="s">
        <v>21</v>
      </c>
      <c r="C400" s="71" t="s">
        <v>1011</v>
      </c>
      <c r="D400" s="119">
        <v>3.3755556E7</v>
      </c>
      <c r="E400" s="112" t="s">
        <v>1012</v>
      </c>
      <c r="F400" s="20"/>
      <c r="G400" s="111">
        <v>45588.0</v>
      </c>
      <c r="H400" s="20" t="s">
        <v>234</v>
      </c>
      <c r="I400" s="20"/>
      <c r="J400" s="140">
        <v>45595.0</v>
      </c>
      <c r="K400" s="146">
        <v>45630.0</v>
      </c>
      <c r="L400" s="20"/>
      <c r="M400" s="38" t="s">
        <v>264</v>
      </c>
    </row>
    <row r="401" ht="22.5" customHeight="1">
      <c r="A401" s="20">
        <v>2025.0</v>
      </c>
      <c r="B401" s="20" t="s">
        <v>21</v>
      </c>
      <c r="C401" s="71" t="s">
        <v>1013</v>
      </c>
      <c r="D401" s="119">
        <v>3.3755562E7</v>
      </c>
      <c r="E401" s="112" t="s">
        <v>1014</v>
      </c>
      <c r="F401" s="20"/>
      <c r="G401" s="111">
        <v>45588.0</v>
      </c>
      <c r="H401" s="20" t="s">
        <v>234</v>
      </c>
      <c r="I401" s="20"/>
      <c r="J401" s="140">
        <v>45595.0</v>
      </c>
      <c r="K401" s="146">
        <v>45630.0</v>
      </c>
      <c r="L401" s="20"/>
      <c r="M401" s="38" t="s">
        <v>264</v>
      </c>
    </row>
    <row r="402" ht="22.5" customHeight="1">
      <c r="A402" s="20">
        <v>2025.0</v>
      </c>
      <c r="B402" s="20" t="s">
        <v>21</v>
      </c>
      <c r="C402" s="71" t="s">
        <v>1015</v>
      </c>
      <c r="D402" s="138">
        <v>3.4019676E7</v>
      </c>
      <c r="E402" s="20" t="s">
        <v>1016</v>
      </c>
      <c r="F402" s="20">
        <v>4.241852034E9</v>
      </c>
      <c r="G402" s="141">
        <v>45631.0</v>
      </c>
      <c r="H402" s="20" t="s">
        <v>234</v>
      </c>
      <c r="I402" s="20"/>
      <c r="J402" s="141">
        <v>45305.0</v>
      </c>
      <c r="K402" s="146">
        <v>45700.0</v>
      </c>
      <c r="L402" s="20"/>
      <c r="M402" s="38" t="s">
        <v>264</v>
      </c>
    </row>
    <row r="403" ht="22.5" customHeight="1">
      <c r="A403" s="20">
        <v>2025.0</v>
      </c>
      <c r="B403" s="20" t="s">
        <v>21</v>
      </c>
      <c r="C403" s="71" t="s">
        <v>1017</v>
      </c>
      <c r="D403" s="119">
        <v>3.2643805E7</v>
      </c>
      <c r="E403" s="112" t="s">
        <v>1018</v>
      </c>
      <c r="F403" s="20">
        <v>4.166960125E9</v>
      </c>
      <c r="G403" s="111">
        <v>45588.0</v>
      </c>
      <c r="H403" s="20" t="s">
        <v>92</v>
      </c>
      <c r="I403" s="20"/>
      <c r="J403" s="140">
        <v>45603.0</v>
      </c>
      <c r="K403" s="141">
        <v>45679.0</v>
      </c>
      <c r="L403" s="20"/>
      <c r="M403" s="38" t="s">
        <v>264</v>
      </c>
    </row>
    <row r="404" ht="22.5" customHeight="1">
      <c r="A404" s="20">
        <v>2025.0</v>
      </c>
      <c r="B404" s="20" t="s">
        <v>21</v>
      </c>
      <c r="C404" s="71" t="s">
        <v>1019</v>
      </c>
      <c r="D404" s="119">
        <v>3.2856587E7</v>
      </c>
      <c r="E404" s="20" t="s">
        <v>1020</v>
      </c>
      <c r="F404" s="20" t="s">
        <v>1021</v>
      </c>
      <c r="G404" s="111">
        <v>45631.0</v>
      </c>
      <c r="H404" s="20" t="s">
        <v>1022</v>
      </c>
      <c r="I404" s="20"/>
      <c r="J404" s="111">
        <v>45642.0</v>
      </c>
      <c r="K404" s="111">
        <v>45726.0</v>
      </c>
      <c r="L404" s="20"/>
      <c r="M404" s="38" t="s">
        <v>264</v>
      </c>
    </row>
    <row r="405" ht="22.5" customHeight="1">
      <c r="A405" s="20">
        <v>2025.0</v>
      </c>
      <c r="B405" s="24" t="s">
        <v>21</v>
      </c>
      <c r="C405" s="71" t="s">
        <v>1023</v>
      </c>
      <c r="D405" s="119">
        <v>3.2919564E7</v>
      </c>
      <c r="E405" s="112" t="s">
        <v>1024</v>
      </c>
      <c r="F405" s="20" t="s">
        <v>1025</v>
      </c>
      <c r="G405" s="111">
        <v>45588.0</v>
      </c>
      <c r="H405" s="20" t="s">
        <v>331</v>
      </c>
      <c r="I405" s="20"/>
      <c r="J405" s="111">
        <v>45600.0</v>
      </c>
      <c r="K405" s="111">
        <v>45672.0</v>
      </c>
      <c r="L405" s="20"/>
      <c r="M405" s="38" t="s">
        <v>264</v>
      </c>
    </row>
    <row r="406" ht="22.5" customHeight="1">
      <c r="A406" s="20">
        <v>2025.0</v>
      </c>
      <c r="B406" s="24" t="s">
        <v>21</v>
      </c>
      <c r="C406" s="71" t="s">
        <v>1026</v>
      </c>
      <c r="D406" s="20">
        <v>3.2811023E7</v>
      </c>
      <c r="E406" s="112" t="s">
        <v>1027</v>
      </c>
      <c r="F406" s="20">
        <v>4.241496633E9</v>
      </c>
      <c r="G406" s="111">
        <v>45588.0</v>
      </c>
      <c r="H406" s="20" t="s">
        <v>331</v>
      </c>
      <c r="I406" s="20"/>
      <c r="J406" s="111">
        <v>45600.0</v>
      </c>
      <c r="K406" s="111">
        <v>45749.0</v>
      </c>
      <c r="L406" s="20"/>
      <c r="M406" s="38" t="s">
        <v>264</v>
      </c>
    </row>
    <row r="407" ht="22.5" customHeight="1">
      <c r="A407" s="20">
        <v>2025.0</v>
      </c>
      <c r="B407" s="24" t="s">
        <v>21</v>
      </c>
      <c r="C407" s="71" t="s">
        <v>1028</v>
      </c>
      <c r="D407" s="147">
        <v>3.2397143E7</v>
      </c>
      <c r="E407" s="139" t="s">
        <v>1029</v>
      </c>
      <c r="F407" s="139" t="s">
        <v>1030</v>
      </c>
      <c r="G407" s="111">
        <v>45588.0</v>
      </c>
      <c r="H407" s="20" t="s">
        <v>331</v>
      </c>
      <c r="I407" s="20"/>
      <c r="J407" s="140">
        <v>45602.0</v>
      </c>
      <c r="K407" s="140">
        <v>45698.0</v>
      </c>
      <c r="L407" s="20"/>
      <c r="M407" s="148" t="s">
        <v>264</v>
      </c>
    </row>
    <row r="408" ht="15.0" customHeight="1">
      <c r="A408" s="105"/>
      <c r="B408" s="105"/>
      <c r="C408" s="149"/>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5.75" customHeight="1">
      <c r="C409" s="5"/>
    </row>
    <row r="410" ht="15.75" customHeight="1">
      <c r="C410" s="5"/>
    </row>
    <row r="411" ht="15.75" customHeight="1">
      <c r="C411" s="5"/>
    </row>
    <row r="412" ht="15.75" customHeight="1">
      <c r="C412" s="5"/>
    </row>
    <row r="413" ht="15.75" customHeight="1">
      <c r="C413" s="5"/>
    </row>
    <row r="414" ht="15.75" customHeight="1">
      <c r="C414" s="5"/>
    </row>
    <row r="415" ht="15.75" customHeight="1">
      <c r="C415" s="5"/>
    </row>
    <row r="416" ht="15.75" customHeight="1">
      <c r="C416" s="5"/>
    </row>
    <row r="417" ht="15.75" customHeight="1">
      <c r="C417" s="5"/>
    </row>
    <row r="418" ht="15.75" customHeight="1">
      <c r="C418" s="5"/>
    </row>
    <row r="419" ht="15.75" customHeight="1">
      <c r="C419" s="5"/>
    </row>
    <row r="420" ht="15.75" customHeight="1">
      <c r="C420" s="5"/>
    </row>
    <row r="421" ht="15.75" customHeight="1">
      <c r="C421" s="5"/>
    </row>
    <row r="422" ht="15.75" customHeight="1">
      <c r="C422" s="5"/>
    </row>
    <row r="423" ht="15.75" customHeight="1">
      <c r="C423" s="5"/>
    </row>
    <row r="424" ht="15.75" customHeight="1">
      <c r="C424" s="5"/>
    </row>
    <row r="425" ht="15.75" customHeight="1">
      <c r="C425" s="5"/>
    </row>
    <row r="426" ht="15.75" customHeight="1">
      <c r="C426" s="5"/>
    </row>
    <row r="427" ht="15.75" customHeight="1">
      <c r="C427" s="5"/>
    </row>
    <row r="428" ht="15.75" customHeight="1">
      <c r="C428" s="5"/>
    </row>
    <row r="429" ht="15.75" customHeight="1">
      <c r="C429" s="5"/>
    </row>
    <row r="430" ht="15.75" customHeight="1">
      <c r="C430" s="5"/>
    </row>
    <row r="431" ht="15.75" customHeight="1">
      <c r="C431" s="5"/>
    </row>
    <row r="432" ht="15.75" customHeight="1">
      <c r="C432" s="5"/>
    </row>
    <row r="433" ht="15.75" customHeight="1">
      <c r="C433" s="5"/>
    </row>
    <row r="434" ht="15.75" customHeight="1">
      <c r="C434" s="5"/>
    </row>
    <row r="435" ht="15.75" customHeight="1">
      <c r="C435" s="5"/>
    </row>
    <row r="436" ht="15.75" customHeight="1">
      <c r="C436" s="5"/>
    </row>
    <row r="437" ht="15.75" customHeight="1">
      <c r="C437" s="5"/>
    </row>
    <row r="438" ht="15.75" customHeight="1">
      <c r="C438" s="5"/>
    </row>
    <row r="439" ht="15.75" customHeight="1">
      <c r="C439" s="5"/>
    </row>
    <row r="440" ht="15.75" customHeight="1">
      <c r="C440" s="5"/>
    </row>
    <row r="441" ht="15.75" customHeight="1">
      <c r="C441" s="5"/>
    </row>
    <row r="442" ht="15.75" customHeight="1">
      <c r="C442" s="5"/>
    </row>
    <row r="443" ht="15.75" customHeight="1">
      <c r="C443" s="5"/>
    </row>
    <row r="444" ht="15.75" customHeight="1">
      <c r="C444" s="5"/>
    </row>
    <row r="445" ht="15.75" customHeight="1">
      <c r="C445" s="5"/>
    </row>
    <row r="446" ht="15.75" customHeight="1">
      <c r="C446" s="5"/>
    </row>
    <row r="447" ht="15.75" customHeight="1">
      <c r="C447" s="5"/>
    </row>
    <row r="448" ht="15.75" customHeight="1">
      <c r="C448" s="5"/>
    </row>
    <row r="449" ht="15.75" customHeight="1">
      <c r="C449" s="5"/>
    </row>
    <row r="450" ht="15.75" customHeight="1">
      <c r="C450" s="5"/>
    </row>
    <row r="451" ht="15.75" customHeight="1">
      <c r="C451" s="5"/>
    </row>
    <row r="452" ht="15.75" customHeight="1">
      <c r="C452" s="5"/>
    </row>
    <row r="453" ht="15.75" customHeight="1">
      <c r="C453" s="5"/>
    </row>
    <row r="454" ht="15.75" customHeight="1">
      <c r="C454" s="5"/>
    </row>
    <row r="455" ht="15.75" customHeight="1">
      <c r="C455" s="5"/>
    </row>
    <row r="456" ht="15.75" customHeight="1">
      <c r="C456" s="5"/>
    </row>
    <row r="457" ht="15.75" customHeight="1">
      <c r="C457" s="5"/>
    </row>
    <row r="458" ht="15.75" customHeight="1">
      <c r="C458" s="5"/>
    </row>
    <row r="459" ht="15.75" customHeight="1">
      <c r="C459" s="5"/>
    </row>
    <row r="460" ht="15.75" customHeight="1">
      <c r="C460" s="5"/>
    </row>
    <row r="461" ht="15.75" customHeight="1">
      <c r="C461" s="5"/>
    </row>
    <row r="462" ht="15.75" customHeight="1">
      <c r="C462" s="5"/>
    </row>
    <row r="463" ht="15.75" customHeight="1">
      <c r="C463" s="5"/>
    </row>
    <row r="464" ht="15.75" customHeight="1">
      <c r="C464" s="5"/>
    </row>
    <row r="465" ht="15.75" customHeight="1">
      <c r="C465" s="5"/>
    </row>
    <row r="466" ht="15.75" customHeight="1">
      <c r="C466" s="5"/>
    </row>
    <row r="467" ht="15.75" customHeight="1">
      <c r="C467" s="5"/>
    </row>
    <row r="468" ht="15.75" customHeight="1">
      <c r="C468" s="5"/>
    </row>
    <row r="469" ht="15.75" customHeight="1">
      <c r="C469" s="5"/>
    </row>
    <row r="470" ht="15.75" customHeight="1">
      <c r="C470" s="5"/>
    </row>
    <row r="471" ht="15.75" customHeight="1">
      <c r="C471" s="5"/>
    </row>
    <row r="472" ht="15.75" customHeight="1">
      <c r="C472" s="5"/>
    </row>
    <row r="473" ht="15.75" customHeight="1">
      <c r="C473" s="5"/>
    </row>
    <row r="474" ht="15.75" customHeight="1">
      <c r="C474" s="5"/>
    </row>
    <row r="475" ht="15.75" customHeight="1">
      <c r="C475" s="5"/>
    </row>
    <row r="476" ht="15.75" customHeight="1">
      <c r="C476" s="5"/>
    </row>
    <row r="477" ht="15.75" customHeight="1">
      <c r="C477" s="5"/>
    </row>
    <row r="478" ht="15.75" customHeight="1">
      <c r="C478" s="5"/>
    </row>
    <row r="479" ht="15.75" customHeight="1">
      <c r="C479" s="5"/>
    </row>
    <row r="480" ht="15.75" customHeight="1">
      <c r="C480" s="5"/>
    </row>
    <row r="481" ht="15.75" customHeight="1">
      <c r="C481" s="5"/>
    </row>
    <row r="482" ht="15.75" customHeight="1">
      <c r="C482" s="5"/>
    </row>
    <row r="483" ht="15.75" customHeight="1">
      <c r="C483" s="5"/>
    </row>
    <row r="484" ht="15.75" customHeight="1">
      <c r="C484" s="5"/>
    </row>
    <row r="485" ht="15.75" customHeight="1">
      <c r="C485" s="5"/>
    </row>
    <row r="486" ht="15.75" customHeight="1">
      <c r="C486" s="5"/>
    </row>
    <row r="487" ht="15.75" customHeight="1">
      <c r="C487" s="5"/>
    </row>
    <row r="488" ht="15.75" customHeight="1">
      <c r="C488" s="5"/>
    </row>
    <row r="489" ht="15.75" customHeight="1">
      <c r="C489" s="5"/>
    </row>
    <row r="490" ht="15.75" customHeight="1">
      <c r="C490" s="5"/>
    </row>
    <row r="491" ht="15.75" customHeight="1">
      <c r="C491" s="5"/>
    </row>
    <row r="492" ht="15.75" customHeight="1">
      <c r="C492" s="5"/>
    </row>
    <row r="493" ht="15.75" customHeight="1">
      <c r="C493" s="5"/>
    </row>
    <row r="494" ht="15.75" customHeight="1">
      <c r="C494" s="5"/>
    </row>
    <row r="495" ht="15.75" customHeight="1">
      <c r="C495" s="5"/>
    </row>
    <row r="496" ht="15.75" customHeight="1">
      <c r="C496" s="5"/>
    </row>
    <row r="497" ht="15.75" customHeight="1">
      <c r="C497" s="5"/>
    </row>
    <row r="498" ht="15.75" customHeight="1">
      <c r="C498" s="5"/>
    </row>
    <row r="499" ht="15.75" customHeight="1">
      <c r="C499" s="5"/>
    </row>
    <row r="500" ht="15.75" customHeight="1">
      <c r="C500" s="5"/>
    </row>
    <row r="501" ht="15.75" customHeight="1">
      <c r="C501" s="5"/>
    </row>
    <row r="502" ht="15.75" customHeight="1">
      <c r="C502" s="5"/>
    </row>
    <row r="503" ht="15.75" customHeight="1">
      <c r="C503" s="5"/>
    </row>
    <row r="504" ht="15.75" customHeight="1">
      <c r="C504" s="5"/>
    </row>
    <row r="505" ht="15.75" customHeight="1">
      <c r="C505" s="5"/>
    </row>
    <row r="506" ht="15.75" customHeight="1">
      <c r="C506" s="5"/>
    </row>
    <row r="507" ht="15.75" customHeight="1">
      <c r="C507" s="5"/>
    </row>
    <row r="508" ht="15.75" customHeight="1">
      <c r="C508" s="5"/>
    </row>
    <row r="509" ht="15.75" customHeight="1">
      <c r="C509" s="5"/>
    </row>
    <row r="510" ht="15.75" customHeight="1">
      <c r="C510" s="5"/>
    </row>
    <row r="511" ht="15.75" customHeight="1">
      <c r="C511" s="5"/>
    </row>
    <row r="512" ht="15.75" customHeight="1">
      <c r="C512" s="5"/>
    </row>
    <row r="513" ht="15.75" customHeight="1">
      <c r="C513" s="5"/>
    </row>
    <row r="514" ht="15.75" customHeight="1">
      <c r="C514" s="5"/>
    </row>
    <row r="515" ht="15.75" customHeight="1">
      <c r="C515" s="5"/>
    </row>
    <row r="516" ht="15.75" customHeight="1">
      <c r="C516" s="5"/>
    </row>
    <row r="517" ht="15.75" customHeight="1">
      <c r="C517" s="5"/>
    </row>
    <row r="518" ht="15.75" customHeight="1">
      <c r="C518" s="5"/>
    </row>
    <row r="519" ht="15.75" customHeight="1">
      <c r="C519" s="5"/>
    </row>
    <row r="520" ht="15.75" customHeight="1">
      <c r="C520" s="5"/>
    </row>
    <row r="521" ht="15.75" customHeight="1">
      <c r="C521" s="5"/>
    </row>
    <row r="522" ht="15.75" customHeight="1">
      <c r="C522" s="5"/>
    </row>
    <row r="523" ht="15.75" customHeight="1">
      <c r="C523" s="5"/>
    </row>
    <row r="524" ht="15.75" customHeight="1">
      <c r="C524" s="5"/>
    </row>
    <row r="525" ht="15.75" customHeight="1">
      <c r="C525" s="5"/>
    </row>
    <row r="526" ht="15.75" customHeight="1">
      <c r="C526" s="5"/>
    </row>
    <row r="527" ht="15.75" customHeight="1">
      <c r="C527" s="5"/>
    </row>
    <row r="528" ht="15.75" customHeight="1">
      <c r="C528" s="5"/>
    </row>
    <row r="529" ht="15.75" customHeight="1">
      <c r="C529" s="5"/>
    </row>
    <row r="530" ht="15.75" customHeight="1">
      <c r="C530" s="5"/>
    </row>
    <row r="531" ht="15.75" customHeight="1">
      <c r="C531" s="5"/>
    </row>
    <row r="532" ht="15.75" customHeight="1">
      <c r="C532" s="5"/>
    </row>
    <row r="533" ht="15.75" customHeight="1">
      <c r="C533" s="5"/>
    </row>
    <row r="534" ht="15.75" customHeight="1">
      <c r="C534" s="5"/>
    </row>
    <row r="535" ht="15.75" customHeight="1">
      <c r="C535" s="5"/>
    </row>
    <row r="536" ht="15.75" customHeight="1">
      <c r="C536" s="5"/>
    </row>
    <row r="537" ht="15.75" customHeight="1">
      <c r="C537" s="5"/>
    </row>
    <row r="538" ht="15.75" customHeight="1">
      <c r="C538" s="5"/>
    </row>
    <row r="539" ht="15.75" customHeight="1">
      <c r="C539" s="5"/>
    </row>
    <row r="540" ht="15.75" customHeight="1">
      <c r="C540" s="5"/>
    </row>
    <row r="541" ht="15.75" customHeight="1">
      <c r="C541" s="5"/>
    </row>
    <row r="542" ht="15.75" customHeight="1">
      <c r="C542" s="5"/>
    </row>
    <row r="543" ht="15.75" customHeight="1">
      <c r="C543" s="5"/>
    </row>
    <row r="544" ht="15.75" customHeight="1">
      <c r="C544" s="5"/>
    </row>
    <row r="545" ht="15.75" customHeight="1">
      <c r="C545" s="5"/>
    </row>
    <row r="546" ht="15.75" customHeight="1">
      <c r="C546" s="5"/>
    </row>
    <row r="547" ht="15.75" customHeight="1">
      <c r="C547" s="5"/>
    </row>
    <row r="548" ht="15.75" customHeight="1">
      <c r="C548" s="5"/>
    </row>
    <row r="549" ht="15.75" customHeight="1">
      <c r="C549" s="5"/>
    </row>
    <row r="550" ht="15.75" customHeight="1">
      <c r="C550" s="5"/>
    </row>
    <row r="551" ht="15.75" customHeight="1">
      <c r="C551" s="5"/>
    </row>
    <row r="552" ht="15.75" customHeight="1">
      <c r="C552" s="5"/>
    </row>
    <row r="553" ht="15.75" customHeight="1">
      <c r="C553" s="5"/>
    </row>
    <row r="554" ht="15.75" customHeight="1">
      <c r="C554" s="5"/>
    </row>
    <row r="555" ht="15.75" customHeight="1">
      <c r="C555" s="5"/>
    </row>
    <row r="556" ht="15.75" customHeight="1">
      <c r="C556" s="5"/>
    </row>
    <row r="557" ht="15.75" customHeight="1">
      <c r="C557" s="5"/>
    </row>
    <row r="558" ht="15.75" customHeight="1">
      <c r="C558" s="5"/>
    </row>
    <row r="559" ht="15.75" customHeight="1">
      <c r="C559" s="5"/>
    </row>
    <row r="560" ht="15.75" customHeight="1">
      <c r="C560" s="5"/>
    </row>
    <row r="561" ht="15.75" customHeight="1">
      <c r="C561" s="5"/>
    </row>
    <row r="562" ht="15.75" customHeight="1">
      <c r="C562" s="5"/>
    </row>
    <row r="563" ht="15.75" customHeight="1">
      <c r="C563" s="5"/>
    </row>
    <row r="564" ht="15.75" customHeight="1">
      <c r="C564" s="5"/>
    </row>
    <row r="565" ht="15.75" customHeight="1">
      <c r="C565" s="5"/>
    </row>
    <row r="566" ht="15.75" customHeight="1">
      <c r="C566" s="5"/>
    </row>
    <row r="567" ht="15.75" customHeight="1">
      <c r="C567" s="5"/>
    </row>
    <row r="568" ht="15.75" customHeight="1">
      <c r="C568" s="5"/>
    </row>
    <row r="569" ht="15.75" customHeight="1">
      <c r="C569" s="5"/>
    </row>
    <row r="570" ht="15.75" customHeight="1">
      <c r="C570" s="5"/>
    </row>
    <row r="571" ht="15.75" customHeight="1">
      <c r="C571" s="5"/>
    </row>
    <row r="572" ht="15.75" customHeight="1">
      <c r="C572" s="5"/>
    </row>
    <row r="573" ht="15.75" customHeight="1">
      <c r="C573" s="5"/>
    </row>
    <row r="574" ht="15.75" customHeight="1">
      <c r="C574" s="5"/>
    </row>
    <row r="575" ht="15.75" customHeight="1">
      <c r="C575" s="5"/>
    </row>
    <row r="576" ht="15.75" customHeight="1">
      <c r="C576" s="5"/>
    </row>
    <row r="577" ht="15.75" customHeight="1">
      <c r="C577" s="5"/>
    </row>
    <row r="578" ht="15.75" customHeight="1">
      <c r="C578" s="5"/>
    </row>
    <row r="579" ht="15.75" customHeight="1">
      <c r="C579" s="5"/>
    </row>
    <row r="580" ht="15.75" customHeight="1">
      <c r="C580" s="5"/>
    </row>
    <row r="581" ht="15.75" customHeight="1">
      <c r="C581" s="5"/>
    </row>
    <row r="582" ht="15.75" customHeight="1">
      <c r="C582" s="5"/>
    </row>
    <row r="583" ht="15.75" customHeight="1">
      <c r="C583" s="5"/>
    </row>
    <row r="584" ht="15.75" customHeight="1">
      <c r="C584" s="5"/>
    </row>
    <row r="585" ht="15.75" customHeight="1">
      <c r="C585" s="5"/>
    </row>
    <row r="586" ht="15.75" customHeight="1">
      <c r="C586" s="5"/>
    </row>
    <row r="587" ht="15.75" customHeight="1">
      <c r="C587" s="5"/>
    </row>
    <row r="588" ht="15.75" customHeight="1">
      <c r="C588" s="5"/>
    </row>
    <row r="589" ht="15.75" customHeight="1">
      <c r="C589" s="5"/>
    </row>
    <row r="590" ht="15.75" customHeight="1">
      <c r="C590" s="5"/>
    </row>
    <row r="591" ht="15.75" customHeight="1">
      <c r="C591" s="5"/>
    </row>
    <row r="592" ht="15.75" customHeight="1">
      <c r="C592" s="5"/>
    </row>
    <row r="593" ht="15.75" customHeight="1">
      <c r="C593" s="5"/>
    </row>
    <row r="594" ht="15.75" customHeight="1">
      <c r="C594" s="5"/>
    </row>
    <row r="595" ht="15.75" customHeight="1">
      <c r="C595" s="5"/>
    </row>
    <row r="596" ht="15.75" customHeight="1">
      <c r="C596" s="5"/>
    </row>
    <row r="597" ht="15.75" customHeight="1">
      <c r="C597" s="5"/>
    </row>
    <row r="598" ht="15.75" customHeight="1">
      <c r="C598" s="5"/>
    </row>
    <row r="599" ht="15.75" customHeight="1">
      <c r="C599" s="5"/>
    </row>
    <row r="600" ht="15.75" customHeight="1">
      <c r="C600" s="5"/>
    </row>
    <row r="601" ht="15.75" customHeight="1">
      <c r="C601" s="5"/>
    </row>
    <row r="602" ht="15.75" customHeight="1">
      <c r="C602" s="5"/>
    </row>
    <row r="603" ht="15.75" customHeight="1">
      <c r="C603" s="5"/>
    </row>
    <row r="604" ht="15.75" customHeight="1">
      <c r="C604" s="5"/>
    </row>
    <row r="605" ht="15.75" customHeight="1">
      <c r="C605" s="5"/>
    </row>
    <row r="606" ht="15.75" customHeight="1">
      <c r="C606" s="5"/>
    </row>
    <row r="607" ht="15.75" customHeight="1">
      <c r="C607" s="5"/>
    </row>
    <row r="608" ht="15.75" customHeight="1">
      <c r="C608" s="5"/>
    </row>
    <row r="609" ht="15.75" customHeight="1">
      <c r="C609" s="5"/>
    </row>
    <row r="610" ht="15.75" customHeight="1">
      <c r="C610" s="5"/>
    </row>
    <row r="611" ht="15.75" customHeight="1">
      <c r="C611" s="5"/>
    </row>
    <row r="612" ht="15.75" customHeight="1">
      <c r="C612" s="5"/>
    </row>
    <row r="613" ht="15.75" customHeight="1">
      <c r="C613" s="5"/>
    </row>
    <row r="614" ht="15.75" customHeight="1">
      <c r="C614" s="5"/>
    </row>
    <row r="615" ht="15.75" customHeight="1">
      <c r="C615" s="5"/>
    </row>
    <row r="616" ht="15.75" customHeight="1">
      <c r="C616" s="5"/>
    </row>
    <row r="617" ht="15.75" customHeight="1">
      <c r="C617" s="5"/>
    </row>
    <row r="618" ht="15.75" customHeight="1">
      <c r="C618" s="5"/>
    </row>
    <row r="619" ht="15.75" customHeight="1">
      <c r="C619" s="5"/>
    </row>
    <row r="620" ht="15.75" customHeight="1">
      <c r="C620" s="5"/>
    </row>
    <row r="621" ht="15.75" customHeight="1">
      <c r="C621" s="5"/>
    </row>
    <row r="622" ht="15.75" customHeight="1">
      <c r="C622" s="5"/>
    </row>
    <row r="623" ht="15.75" customHeight="1">
      <c r="C623" s="5"/>
    </row>
    <row r="624" ht="15.75" customHeight="1">
      <c r="C624" s="5"/>
    </row>
    <row r="625" ht="15.75" customHeight="1">
      <c r="C625" s="5"/>
    </row>
    <row r="626" ht="15.75" customHeight="1">
      <c r="C626" s="5"/>
    </row>
    <row r="627" ht="15.75" customHeight="1">
      <c r="C627" s="5"/>
    </row>
    <row r="628" ht="15.75" customHeight="1">
      <c r="C628" s="5"/>
    </row>
    <row r="629" ht="15.75" customHeight="1">
      <c r="C629" s="5"/>
    </row>
    <row r="630" ht="15.75" customHeight="1">
      <c r="C630" s="5"/>
    </row>
    <row r="631" ht="15.75" customHeight="1">
      <c r="C631" s="5"/>
    </row>
    <row r="632" ht="15.75" customHeight="1">
      <c r="C632" s="5"/>
    </row>
    <row r="633" ht="15.75" customHeight="1">
      <c r="C633" s="5"/>
    </row>
    <row r="634" ht="15.75" customHeight="1">
      <c r="C634" s="5"/>
    </row>
    <row r="635" ht="15.75" customHeight="1">
      <c r="C635" s="5"/>
    </row>
    <row r="636" ht="15.75" customHeight="1">
      <c r="C636" s="5"/>
    </row>
    <row r="637" ht="15.75" customHeight="1">
      <c r="C637" s="5"/>
    </row>
    <row r="638" ht="15.75" customHeight="1">
      <c r="C638" s="5"/>
    </row>
    <row r="639" ht="15.75" customHeight="1">
      <c r="C639" s="5"/>
    </row>
    <row r="640" ht="15.75" customHeight="1">
      <c r="C640" s="5"/>
    </row>
    <row r="641" ht="15.75" customHeight="1">
      <c r="C641" s="5"/>
    </row>
    <row r="642" ht="15.75" customHeight="1">
      <c r="C642" s="5"/>
    </row>
    <row r="643" ht="15.75" customHeight="1">
      <c r="C643" s="5"/>
    </row>
    <row r="644" ht="15.75" customHeight="1">
      <c r="C644" s="5"/>
    </row>
    <row r="645" ht="15.75" customHeight="1">
      <c r="C645" s="5"/>
    </row>
    <row r="646" ht="15.75" customHeight="1">
      <c r="C646" s="5"/>
    </row>
    <row r="647" ht="15.75" customHeight="1">
      <c r="C647" s="5"/>
    </row>
    <row r="648" ht="15.75" customHeight="1">
      <c r="C648" s="5"/>
    </row>
    <row r="649" ht="15.75" customHeight="1">
      <c r="C649" s="5"/>
    </row>
    <row r="650" ht="15.75" customHeight="1">
      <c r="C650" s="5"/>
    </row>
    <row r="651" ht="15.75" customHeight="1">
      <c r="C651" s="5"/>
    </row>
    <row r="652" ht="15.75" customHeight="1">
      <c r="C652" s="5"/>
    </row>
    <row r="653" ht="15.75" customHeight="1">
      <c r="C653" s="5"/>
    </row>
    <row r="654" ht="15.75" customHeight="1">
      <c r="C654" s="5"/>
    </row>
    <row r="655" ht="15.75" customHeight="1">
      <c r="C655" s="5"/>
    </row>
    <row r="656" ht="15.75" customHeight="1">
      <c r="C656" s="5"/>
    </row>
    <row r="657" ht="15.75" customHeight="1">
      <c r="C657" s="5"/>
    </row>
    <row r="658" ht="15.75" customHeight="1">
      <c r="C658" s="5"/>
    </row>
    <row r="659" ht="15.75" customHeight="1">
      <c r="C659" s="5"/>
    </row>
    <row r="660" ht="15.75" customHeight="1">
      <c r="C660" s="5"/>
    </row>
    <row r="661" ht="15.75" customHeight="1">
      <c r="C661" s="5"/>
    </row>
    <row r="662" ht="15.75" customHeight="1">
      <c r="C662" s="5"/>
    </row>
    <row r="663" ht="15.75" customHeight="1">
      <c r="C663" s="5"/>
    </row>
    <row r="664" ht="15.75" customHeight="1">
      <c r="C664" s="5"/>
    </row>
    <row r="665" ht="15.75" customHeight="1">
      <c r="C665" s="5"/>
    </row>
    <row r="666" ht="15.75" customHeight="1">
      <c r="C666" s="5"/>
    </row>
    <row r="667" ht="15.75" customHeight="1">
      <c r="C667" s="5"/>
    </row>
    <row r="668" ht="15.75" customHeight="1">
      <c r="C668" s="5"/>
    </row>
    <row r="669" ht="15.75" customHeight="1">
      <c r="C669" s="5"/>
    </row>
    <row r="670" ht="15.75" customHeight="1">
      <c r="C670" s="5"/>
    </row>
    <row r="671" ht="15.75" customHeight="1">
      <c r="C671" s="5"/>
    </row>
    <row r="672" ht="15.75" customHeight="1">
      <c r="C672" s="5"/>
    </row>
    <row r="673" ht="15.75" customHeight="1">
      <c r="C673" s="5"/>
    </row>
    <row r="674" ht="15.75" customHeight="1">
      <c r="C674" s="5"/>
    </row>
    <row r="675" ht="15.75" customHeight="1">
      <c r="C675" s="5"/>
    </row>
    <row r="676" ht="15.75" customHeight="1">
      <c r="C676" s="5"/>
    </row>
    <row r="677" ht="15.75" customHeight="1">
      <c r="C677" s="5"/>
    </row>
    <row r="678" ht="15.75" customHeight="1">
      <c r="C678" s="5"/>
    </row>
    <row r="679" ht="15.75" customHeight="1">
      <c r="C679" s="5"/>
    </row>
    <row r="680" ht="15.75" customHeight="1">
      <c r="C680" s="5"/>
    </row>
    <row r="681" ht="15.75" customHeight="1">
      <c r="C681" s="5"/>
    </row>
    <row r="682" ht="15.75" customHeight="1">
      <c r="C682" s="5"/>
    </row>
    <row r="683" ht="15.75" customHeight="1">
      <c r="C683" s="5"/>
    </row>
    <row r="684" ht="15.75" customHeight="1">
      <c r="C684" s="5"/>
    </row>
    <row r="685" ht="15.75" customHeight="1">
      <c r="C685" s="5"/>
    </row>
    <row r="686" ht="15.75" customHeight="1">
      <c r="C686" s="5"/>
    </row>
    <row r="687" ht="15.75" customHeight="1">
      <c r="C687" s="5"/>
    </row>
    <row r="688" ht="15.75" customHeight="1">
      <c r="C688" s="5"/>
    </row>
    <row r="689" ht="15.75" customHeight="1">
      <c r="C689" s="5"/>
    </row>
    <row r="690" ht="15.75" customHeight="1">
      <c r="C690" s="5"/>
    </row>
    <row r="691" ht="15.75" customHeight="1">
      <c r="C691" s="5"/>
    </row>
    <row r="692" ht="15.75" customHeight="1">
      <c r="C692" s="5"/>
    </row>
    <row r="693" ht="15.75" customHeight="1">
      <c r="C693" s="5"/>
    </row>
    <row r="694" ht="15.75" customHeight="1">
      <c r="C694" s="5"/>
    </row>
    <row r="695" ht="15.75" customHeight="1">
      <c r="C695" s="5"/>
    </row>
    <row r="696" ht="15.75" customHeight="1">
      <c r="C696" s="5"/>
    </row>
    <row r="697" ht="15.75" customHeight="1">
      <c r="C697" s="5"/>
    </row>
    <row r="698" ht="15.75" customHeight="1">
      <c r="C698" s="5"/>
    </row>
    <row r="699" ht="15.75" customHeight="1">
      <c r="C699" s="5"/>
    </row>
    <row r="700" ht="15.75" customHeight="1">
      <c r="C700" s="5"/>
    </row>
    <row r="701" ht="15.75" customHeight="1">
      <c r="C701" s="5"/>
    </row>
    <row r="702" ht="15.75" customHeight="1">
      <c r="C702" s="5"/>
    </row>
    <row r="703" ht="15.75" customHeight="1">
      <c r="C703" s="5"/>
    </row>
    <row r="704" ht="15.75" customHeight="1">
      <c r="C704" s="5"/>
    </row>
    <row r="705" ht="15.75" customHeight="1">
      <c r="C705" s="5"/>
    </row>
    <row r="706" ht="15.75" customHeight="1">
      <c r="C706" s="5"/>
    </row>
    <row r="707" ht="15.75" customHeight="1">
      <c r="C707" s="5"/>
    </row>
    <row r="708" ht="15.75" customHeight="1">
      <c r="C708" s="5"/>
    </row>
    <row r="709" ht="15.75" customHeight="1">
      <c r="C709" s="5"/>
    </row>
    <row r="710" ht="15.75" customHeight="1">
      <c r="C710" s="5"/>
    </row>
    <row r="711" ht="15.75" customHeight="1">
      <c r="C711" s="5"/>
    </row>
    <row r="712" ht="15.75" customHeight="1">
      <c r="C712" s="5"/>
    </row>
    <row r="713" ht="15.75" customHeight="1">
      <c r="C713" s="5"/>
    </row>
    <row r="714" ht="15.75" customHeight="1">
      <c r="C714" s="5"/>
    </row>
    <row r="715" ht="15.75" customHeight="1">
      <c r="C715" s="5"/>
    </row>
    <row r="716" ht="15.75" customHeight="1">
      <c r="C716" s="5"/>
    </row>
    <row r="717" ht="15.75" customHeight="1">
      <c r="C717" s="5"/>
    </row>
    <row r="718" ht="15.75" customHeight="1">
      <c r="C718" s="5"/>
    </row>
    <row r="719" ht="15.75" customHeight="1">
      <c r="C719" s="5"/>
    </row>
    <row r="720" ht="15.75" customHeight="1">
      <c r="C720" s="5"/>
    </row>
    <row r="721" ht="15.75" customHeight="1">
      <c r="C721" s="5"/>
    </row>
    <row r="722" ht="15.75" customHeight="1">
      <c r="C722" s="5"/>
    </row>
    <row r="723" ht="15.75" customHeight="1">
      <c r="C723" s="5"/>
    </row>
    <row r="724" ht="15.75" customHeight="1">
      <c r="C724" s="5"/>
    </row>
    <row r="725" ht="15.75" customHeight="1">
      <c r="C725" s="5"/>
    </row>
    <row r="726" ht="15.75" customHeight="1">
      <c r="C726" s="5"/>
    </row>
    <row r="727" ht="15.75" customHeight="1">
      <c r="C727" s="5"/>
    </row>
    <row r="728" ht="15.75" customHeight="1">
      <c r="C728" s="5"/>
    </row>
    <row r="729" ht="15.75" customHeight="1">
      <c r="C729" s="5"/>
    </row>
    <row r="730" ht="15.75" customHeight="1">
      <c r="C730" s="5"/>
    </row>
    <row r="731" ht="15.75" customHeight="1">
      <c r="C731" s="5"/>
    </row>
    <row r="732" ht="15.75" customHeight="1">
      <c r="C732" s="5"/>
    </row>
    <row r="733" ht="15.75" customHeight="1">
      <c r="C733" s="5"/>
    </row>
    <row r="734" ht="15.75" customHeight="1">
      <c r="C734" s="5"/>
    </row>
    <row r="735" ht="15.75" customHeight="1">
      <c r="C735" s="5"/>
    </row>
    <row r="736" ht="15.75" customHeight="1">
      <c r="C736" s="5"/>
    </row>
    <row r="737" ht="15.75" customHeight="1">
      <c r="C737" s="5"/>
    </row>
    <row r="738" ht="15.75" customHeight="1">
      <c r="C738" s="5"/>
    </row>
    <row r="739" ht="15.75" customHeight="1">
      <c r="C739" s="5"/>
    </row>
    <row r="740" ht="15.75" customHeight="1">
      <c r="C740" s="5"/>
    </row>
    <row r="741" ht="15.75" customHeight="1">
      <c r="C741" s="5"/>
    </row>
    <row r="742" ht="15.75" customHeight="1">
      <c r="C742" s="5"/>
    </row>
    <row r="743" ht="15.75" customHeight="1">
      <c r="C743" s="5"/>
    </row>
    <row r="744" ht="15.75" customHeight="1">
      <c r="C744" s="5"/>
    </row>
    <row r="745" ht="15.75" customHeight="1">
      <c r="C745" s="5"/>
    </row>
    <row r="746" ht="15.75" customHeight="1">
      <c r="C746" s="5"/>
    </row>
    <row r="747" ht="15.75" customHeight="1">
      <c r="C747" s="5"/>
    </row>
    <row r="748" ht="15.75" customHeight="1">
      <c r="C748" s="5"/>
    </row>
    <row r="749" ht="15.75" customHeight="1">
      <c r="C749" s="5"/>
    </row>
    <row r="750" ht="15.75" customHeight="1">
      <c r="C750" s="5"/>
    </row>
    <row r="751" ht="15.75" customHeight="1">
      <c r="C751" s="5"/>
    </row>
    <row r="752" ht="15.75" customHeight="1">
      <c r="C752" s="5"/>
    </row>
    <row r="753" ht="15.75" customHeight="1">
      <c r="C753" s="5"/>
    </row>
    <row r="754" ht="15.75" customHeight="1">
      <c r="C754" s="5"/>
    </row>
    <row r="755" ht="15.75" customHeight="1">
      <c r="C755" s="5"/>
    </row>
    <row r="756" ht="15.75" customHeight="1">
      <c r="C756" s="5"/>
    </row>
    <row r="757" ht="15.75" customHeight="1">
      <c r="C757" s="5"/>
    </row>
    <row r="758" ht="15.75" customHeight="1">
      <c r="C758" s="5"/>
    </row>
    <row r="759" ht="15.75" customHeight="1">
      <c r="C759" s="5"/>
    </row>
    <row r="760" ht="15.75" customHeight="1">
      <c r="C760" s="5"/>
    </row>
    <row r="761" ht="15.75" customHeight="1">
      <c r="C761" s="5"/>
    </row>
    <row r="762" ht="15.75" customHeight="1">
      <c r="C762" s="5"/>
    </row>
    <row r="763" ht="15.75" customHeight="1">
      <c r="C763" s="5"/>
    </row>
    <row r="764" ht="15.75" customHeight="1">
      <c r="C764" s="5"/>
    </row>
    <row r="765" ht="15.75" customHeight="1">
      <c r="C765" s="5"/>
    </row>
    <row r="766" ht="15.75" customHeight="1">
      <c r="C766" s="5"/>
    </row>
    <row r="767" ht="15.75" customHeight="1">
      <c r="C767" s="5"/>
    </row>
    <row r="768" ht="15.75" customHeight="1">
      <c r="C768" s="5"/>
    </row>
    <row r="769" ht="15.75" customHeight="1">
      <c r="C769" s="5"/>
    </row>
    <row r="770" ht="15.75" customHeight="1">
      <c r="C770" s="5"/>
    </row>
    <row r="771" ht="15.75" customHeight="1">
      <c r="C771" s="5"/>
    </row>
    <row r="772" ht="15.75" customHeight="1">
      <c r="C772" s="5"/>
    </row>
    <row r="773" ht="15.75" customHeight="1">
      <c r="C773" s="5"/>
    </row>
    <row r="774" ht="15.75" customHeight="1">
      <c r="C774" s="5"/>
    </row>
    <row r="775" ht="15.75" customHeight="1">
      <c r="C775" s="5"/>
    </row>
    <row r="776" ht="15.75" customHeight="1">
      <c r="C776" s="5"/>
    </row>
    <row r="777" ht="15.75" customHeight="1">
      <c r="C777" s="5"/>
    </row>
    <row r="778" ht="15.75" customHeight="1">
      <c r="C778" s="5"/>
    </row>
    <row r="779" ht="15.75" customHeight="1">
      <c r="C779" s="5"/>
    </row>
    <row r="780" ht="15.75" customHeight="1">
      <c r="C780" s="5"/>
    </row>
    <row r="781" ht="15.75" customHeight="1">
      <c r="C781" s="5"/>
    </row>
    <row r="782" ht="15.75" customHeight="1">
      <c r="C782" s="5"/>
    </row>
    <row r="783" ht="15.75" customHeight="1">
      <c r="C783" s="5"/>
    </row>
    <row r="784" ht="15.75" customHeight="1">
      <c r="C784" s="5"/>
    </row>
    <row r="785" ht="15.75" customHeight="1">
      <c r="C785" s="5"/>
    </row>
    <row r="786" ht="15.75" customHeight="1">
      <c r="C786" s="5"/>
    </row>
    <row r="787" ht="15.75" customHeight="1">
      <c r="C787" s="5"/>
    </row>
    <row r="788" ht="15.75" customHeight="1">
      <c r="C788" s="5"/>
    </row>
    <row r="789" ht="15.75" customHeight="1">
      <c r="C789" s="5"/>
    </row>
    <row r="790" ht="15.75" customHeight="1">
      <c r="C790" s="5"/>
    </row>
    <row r="791" ht="15.75" customHeight="1">
      <c r="C791" s="5"/>
    </row>
    <row r="792" ht="15.75" customHeight="1">
      <c r="C792" s="5"/>
    </row>
    <row r="793" ht="15.75" customHeight="1">
      <c r="C793" s="5"/>
    </row>
    <row r="794" ht="15.75" customHeight="1">
      <c r="C794" s="5"/>
    </row>
    <row r="795" ht="15.75" customHeight="1">
      <c r="C795" s="5"/>
    </row>
    <row r="796" ht="15.75" customHeight="1">
      <c r="C796" s="5"/>
    </row>
    <row r="797" ht="15.75" customHeight="1">
      <c r="C797" s="5"/>
    </row>
    <row r="798" ht="15.75" customHeight="1">
      <c r="C798" s="5"/>
    </row>
    <row r="799" ht="15.75" customHeight="1">
      <c r="C799" s="5"/>
    </row>
    <row r="800" ht="15.75" customHeight="1">
      <c r="C800" s="5"/>
    </row>
    <row r="801" ht="15.75" customHeight="1">
      <c r="C801" s="5"/>
    </row>
    <row r="802" ht="15.75" customHeight="1">
      <c r="C802" s="5"/>
    </row>
    <row r="803" ht="15.75" customHeight="1">
      <c r="C803" s="5"/>
    </row>
    <row r="804" ht="15.75" customHeight="1">
      <c r="C804" s="5"/>
    </row>
    <row r="805" ht="15.75" customHeight="1">
      <c r="C805" s="5"/>
    </row>
    <row r="806" ht="15.75" customHeight="1">
      <c r="C806" s="5"/>
    </row>
    <row r="807" ht="15.75" customHeight="1">
      <c r="C807" s="5"/>
    </row>
    <row r="808" ht="15.75" customHeight="1">
      <c r="C808" s="5"/>
    </row>
    <row r="809" ht="15.75" customHeight="1">
      <c r="C809" s="5"/>
    </row>
    <row r="810" ht="15.75" customHeight="1">
      <c r="C810" s="5"/>
    </row>
    <row r="811" ht="15.75" customHeight="1">
      <c r="C811" s="5"/>
    </row>
    <row r="812" ht="15.75" customHeight="1">
      <c r="C812" s="5"/>
    </row>
    <row r="813" ht="15.75" customHeight="1">
      <c r="C813" s="5"/>
    </row>
    <row r="814" ht="15.75" customHeight="1">
      <c r="C814" s="5"/>
    </row>
    <row r="815" ht="15.75" customHeight="1">
      <c r="C815" s="5"/>
    </row>
    <row r="816" ht="15.75" customHeight="1">
      <c r="C816" s="5"/>
    </row>
    <row r="817" ht="15.75" customHeight="1">
      <c r="C817" s="5"/>
    </row>
    <row r="818" ht="15.75" customHeight="1">
      <c r="C818" s="5"/>
    </row>
    <row r="819" ht="15.75" customHeight="1">
      <c r="C819" s="5"/>
    </row>
    <row r="820" ht="15.75" customHeight="1">
      <c r="C820" s="5"/>
    </row>
    <row r="821" ht="15.75" customHeight="1">
      <c r="C821" s="5"/>
    </row>
    <row r="822" ht="15.75" customHeight="1">
      <c r="C822" s="5"/>
    </row>
    <row r="823" ht="15.75" customHeight="1">
      <c r="C823" s="5"/>
    </row>
    <row r="824" ht="15.75" customHeight="1">
      <c r="C824" s="5"/>
    </row>
    <row r="825" ht="15.75" customHeight="1">
      <c r="C825" s="5"/>
    </row>
    <row r="826" ht="15.75" customHeight="1">
      <c r="C826" s="5"/>
    </row>
    <row r="827" ht="15.75" customHeight="1">
      <c r="C827" s="5"/>
    </row>
    <row r="828" ht="15.75" customHeight="1">
      <c r="C828" s="5"/>
    </row>
    <row r="829" ht="15.75" customHeight="1">
      <c r="C829" s="5"/>
    </row>
    <row r="830" ht="15.75" customHeight="1">
      <c r="C830" s="5"/>
    </row>
    <row r="831" ht="15.75" customHeight="1">
      <c r="C831" s="5"/>
    </row>
    <row r="832" ht="15.75" customHeight="1">
      <c r="C832" s="5"/>
    </row>
    <row r="833" ht="15.75" customHeight="1">
      <c r="C833" s="5"/>
    </row>
    <row r="834" ht="15.75" customHeight="1">
      <c r="C834" s="5"/>
    </row>
    <row r="835" ht="15.75" customHeight="1">
      <c r="C835" s="5"/>
    </row>
    <row r="836" ht="15.75" customHeight="1">
      <c r="C836" s="5"/>
    </row>
    <row r="837" ht="15.75" customHeight="1">
      <c r="C837" s="5"/>
    </row>
    <row r="838" ht="15.75" customHeight="1">
      <c r="C838" s="5"/>
    </row>
    <row r="839" ht="15.75" customHeight="1">
      <c r="C839" s="5"/>
    </row>
    <row r="840" ht="15.75" customHeight="1">
      <c r="C840" s="5"/>
    </row>
    <row r="841" ht="15.75" customHeight="1">
      <c r="C841" s="5"/>
    </row>
    <row r="842" ht="15.75" customHeight="1">
      <c r="C842" s="5"/>
    </row>
    <row r="843" ht="15.75" customHeight="1">
      <c r="C843" s="5"/>
    </row>
    <row r="844" ht="15.75" customHeight="1">
      <c r="C844" s="5"/>
    </row>
    <row r="845" ht="15.75" customHeight="1">
      <c r="C845" s="5"/>
    </row>
    <row r="846" ht="15.75" customHeight="1">
      <c r="C846" s="5"/>
    </row>
    <row r="847" ht="15.75" customHeight="1">
      <c r="C847" s="5"/>
    </row>
    <row r="848" ht="15.75" customHeight="1">
      <c r="C848" s="5"/>
    </row>
    <row r="849" ht="15.75" customHeight="1">
      <c r="C849" s="5"/>
    </row>
    <row r="850" ht="15.75" customHeight="1">
      <c r="C850" s="5"/>
    </row>
    <row r="851" ht="15.75" customHeight="1">
      <c r="C851" s="5"/>
    </row>
    <row r="852" ht="15.75" customHeight="1">
      <c r="C852" s="5"/>
    </row>
    <row r="853" ht="15.75" customHeight="1">
      <c r="C853" s="5"/>
    </row>
    <row r="854" ht="15.75" customHeight="1">
      <c r="C854" s="5"/>
    </row>
    <row r="855" ht="15.75" customHeight="1">
      <c r="C855" s="5"/>
    </row>
    <row r="856" ht="15.75" customHeight="1">
      <c r="C856" s="5"/>
    </row>
    <row r="857" ht="15.75" customHeight="1">
      <c r="C857" s="5"/>
    </row>
    <row r="858" ht="15.75" customHeight="1">
      <c r="C858" s="5"/>
    </row>
    <row r="859" ht="15.75" customHeight="1">
      <c r="C859" s="5"/>
    </row>
    <row r="860" ht="15.75" customHeight="1">
      <c r="C860" s="5"/>
    </row>
    <row r="861" ht="15.75" customHeight="1">
      <c r="C861" s="5"/>
    </row>
    <row r="862" ht="15.75" customHeight="1">
      <c r="C862" s="5"/>
    </row>
    <row r="863" ht="15.75" customHeight="1">
      <c r="C863" s="5"/>
    </row>
    <row r="864" ht="15.75" customHeight="1">
      <c r="C864" s="5"/>
    </row>
    <row r="865" ht="15.75" customHeight="1">
      <c r="C865" s="5"/>
    </row>
    <row r="866" ht="15.75" customHeight="1">
      <c r="C866" s="5"/>
    </row>
    <row r="867" ht="15.75" customHeight="1">
      <c r="C867" s="5"/>
    </row>
    <row r="868" ht="15.75" customHeight="1">
      <c r="C868" s="5"/>
    </row>
    <row r="869" ht="15.75" customHeight="1">
      <c r="C869" s="5"/>
    </row>
    <row r="870" ht="15.75" customHeight="1">
      <c r="C870" s="5"/>
    </row>
    <row r="871" ht="15.75" customHeight="1">
      <c r="C871" s="5"/>
    </row>
    <row r="872" ht="15.75" customHeight="1">
      <c r="C872" s="5"/>
    </row>
    <row r="873" ht="15.75" customHeight="1">
      <c r="C873" s="5"/>
    </row>
    <row r="874" ht="15.75" customHeight="1">
      <c r="C874" s="5"/>
    </row>
    <row r="875" ht="15.75" customHeight="1">
      <c r="C875" s="5"/>
    </row>
    <row r="876" ht="15.75" customHeight="1">
      <c r="C876" s="5"/>
    </row>
    <row r="877" ht="15.75" customHeight="1">
      <c r="C877" s="5"/>
    </row>
    <row r="878" ht="15.75" customHeight="1">
      <c r="C878" s="5"/>
    </row>
    <row r="879" ht="15.75" customHeight="1">
      <c r="C879" s="5"/>
    </row>
    <row r="880" ht="15.75" customHeight="1">
      <c r="C880" s="5"/>
    </row>
    <row r="881" ht="15.75" customHeight="1">
      <c r="C881" s="5"/>
    </row>
    <row r="882" ht="15.75" customHeight="1">
      <c r="C882" s="5"/>
    </row>
    <row r="883" ht="15.75" customHeight="1">
      <c r="C883" s="5"/>
    </row>
    <row r="884" ht="15.75" customHeight="1">
      <c r="C884" s="5"/>
    </row>
    <row r="885" ht="15.75" customHeight="1">
      <c r="C885" s="5"/>
    </row>
    <row r="886" ht="15.75" customHeight="1">
      <c r="C886" s="5"/>
    </row>
    <row r="887" ht="15.75" customHeight="1">
      <c r="C887" s="5"/>
    </row>
    <row r="888" ht="15.75" customHeight="1">
      <c r="C888" s="5"/>
    </row>
    <row r="889" ht="15.75" customHeight="1">
      <c r="C889" s="5"/>
    </row>
    <row r="890" ht="15.75" customHeight="1">
      <c r="C890" s="5"/>
    </row>
    <row r="891" ht="15.75" customHeight="1">
      <c r="C891" s="5"/>
    </row>
    <row r="892" ht="15.75" customHeight="1">
      <c r="C892" s="5"/>
    </row>
    <row r="893" ht="15.75" customHeight="1">
      <c r="C893" s="5"/>
    </row>
    <row r="894" ht="15.75" customHeight="1">
      <c r="C894" s="5"/>
    </row>
    <row r="895" ht="15.75" customHeight="1">
      <c r="C895" s="5"/>
    </row>
    <row r="896" ht="15.75" customHeight="1">
      <c r="C896" s="5"/>
    </row>
    <row r="897" ht="15.75" customHeight="1">
      <c r="C897" s="5"/>
    </row>
    <row r="898" ht="15.75" customHeight="1">
      <c r="C898" s="5"/>
    </row>
    <row r="899" ht="15.75" customHeight="1">
      <c r="C899" s="5"/>
    </row>
    <row r="900" ht="15.75" customHeight="1">
      <c r="C900" s="5"/>
    </row>
    <row r="901" ht="15.75" customHeight="1">
      <c r="C901" s="5"/>
    </row>
    <row r="902" ht="15.75" customHeight="1">
      <c r="C902" s="5"/>
    </row>
    <row r="903" ht="15.75" customHeight="1">
      <c r="C903" s="5"/>
    </row>
    <row r="904" ht="15.75" customHeight="1">
      <c r="C904" s="5"/>
    </row>
    <row r="905" ht="15.75" customHeight="1">
      <c r="C905" s="5"/>
    </row>
    <row r="906" ht="15.75" customHeight="1">
      <c r="C906" s="5"/>
    </row>
    <row r="907" ht="15.75" customHeight="1">
      <c r="C907" s="5"/>
    </row>
    <row r="908" ht="15.75" customHeight="1">
      <c r="C908" s="5"/>
    </row>
    <row r="909" ht="15.75" customHeight="1">
      <c r="C909" s="5"/>
    </row>
    <row r="910" ht="15.75" customHeight="1">
      <c r="C910" s="5"/>
    </row>
    <row r="911" ht="15.75" customHeight="1">
      <c r="C911" s="5"/>
    </row>
    <row r="912" ht="15.75" customHeight="1">
      <c r="C912" s="5"/>
    </row>
    <row r="913" ht="15.75" customHeight="1">
      <c r="C913" s="5"/>
    </row>
    <row r="914" ht="15.75" customHeight="1">
      <c r="C914" s="5"/>
    </row>
    <row r="915" ht="15.75" customHeight="1">
      <c r="C915" s="5"/>
    </row>
    <row r="916" ht="15.75" customHeight="1">
      <c r="C916" s="5"/>
    </row>
    <row r="917" ht="15.75" customHeight="1">
      <c r="C917" s="5"/>
    </row>
    <row r="918" ht="15.75" customHeight="1">
      <c r="C918" s="5"/>
    </row>
    <row r="919" ht="15.75" customHeight="1">
      <c r="C919" s="5"/>
    </row>
    <row r="920" ht="15.75" customHeight="1">
      <c r="C920" s="5"/>
    </row>
    <row r="921" ht="15.75" customHeight="1">
      <c r="C921" s="5"/>
    </row>
    <row r="922" ht="15.75" customHeight="1">
      <c r="C922" s="5"/>
    </row>
    <row r="923" ht="15.75" customHeight="1">
      <c r="C923" s="5"/>
    </row>
    <row r="924" ht="15.75" customHeight="1">
      <c r="C924" s="5"/>
    </row>
    <row r="925" ht="15.75" customHeight="1">
      <c r="C925" s="5"/>
    </row>
    <row r="926" ht="15.75" customHeight="1">
      <c r="C926" s="5"/>
    </row>
    <row r="927" ht="15.75" customHeight="1">
      <c r="C927" s="5"/>
    </row>
    <row r="928" ht="15.75" customHeight="1">
      <c r="C928" s="5"/>
    </row>
    <row r="929" ht="15.75" customHeight="1">
      <c r="C929" s="5"/>
    </row>
    <row r="930" ht="15.75" customHeight="1">
      <c r="C930" s="5"/>
    </row>
    <row r="931" ht="15.75" customHeight="1">
      <c r="C931" s="5"/>
    </row>
    <row r="932" ht="15.75" customHeight="1">
      <c r="C932" s="5"/>
    </row>
  </sheetData>
  <autoFilter ref="$A$3:$M$407"/>
  <mergeCells count="1">
    <mergeCell ref="A1:L1"/>
  </mergeCells>
  <hyperlinks>
    <hyperlink r:id="rId1" ref="E4"/>
    <hyperlink r:id="rId2" ref="E155"/>
    <hyperlink r:id="rId3" ref="E159"/>
    <hyperlink r:id="rId4" ref="E168"/>
    <hyperlink r:id="rId5" ref="E170"/>
    <hyperlink r:id="rId6" ref="E171"/>
    <hyperlink r:id="rId7" ref="E176"/>
    <hyperlink r:id="rId8" ref="E195"/>
    <hyperlink r:id="rId9" ref="E199"/>
    <hyperlink r:id="rId10" ref="E206"/>
    <hyperlink r:id="rId11" ref="E207"/>
    <hyperlink r:id="rId12" ref="E208"/>
    <hyperlink r:id="rId13" ref="E209"/>
    <hyperlink r:id="rId14" ref="E213"/>
    <hyperlink r:id="rId15" ref="C214"/>
    <hyperlink r:id="rId16" ref="E214"/>
    <hyperlink r:id="rId17" ref="E215"/>
    <hyperlink r:id="rId18" ref="E217"/>
    <hyperlink r:id="rId19" ref="E218"/>
    <hyperlink r:id="rId20" ref="E219"/>
    <hyperlink r:id="rId21" ref="E221"/>
    <hyperlink r:id="rId22" ref="E222"/>
    <hyperlink r:id="rId23" ref="E223"/>
    <hyperlink r:id="rId24" ref="E224"/>
    <hyperlink r:id="rId25" ref="E226"/>
    <hyperlink r:id="rId26" ref="E227"/>
    <hyperlink r:id="rId27" ref="E230"/>
    <hyperlink r:id="rId28" ref="E232"/>
    <hyperlink r:id="rId29" ref="E233"/>
    <hyperlink r:id="rId30" ref="E241"/>
    <hyperlink r:id="rId31" ref="E244"/>
    <hyperlink r:id="rId32" ref="E246"/>
    <hyperlink r:id="rId33" ref="E247"/>
    <hyperlink r:id="rId34" ref="E249"/>
    <hyperlink r:id="rId35" ref="E250"/>
    <hyperlink r:id="rId36" ref="E251"/>
    <hyperlink r:id="rId37" ref="E252"/>
    <hyperlink r:id="rId38" ref="E256"/>
    <hyperlink r:id="rId39" ref="E262"/>
    <hyperlink r:id="rId40" ref="E263"/>
    <hyperlink r:id="rId41" ref="E265"/>
    <hyperlink r:id="rId42" ref="E266"/>
    <hyperlink r:id="rId43" ref="E267"/>
    <hyperlink r:id="rId44" ref="E269"/>
    <hyperlink r:id="rId45" ref="E270"/>
    <hyperlink r:id="rId46" ref="E272"/>
    <hyperlink r:id="rId47" ref="E274"/>
    <hyperlink r:id="rId48" ref="E279"/>
    <hyperlink r:id="rId49" ref="E280"/>
    <hyperlink r:id="rId50" ref="E282"/>
    <hyperlink r:id="rId51" ref="E287"/>
    <hyperlink r:id="rId52" ref="E288"/>
    <hyperlink r:id="rId53" ref="E292"/>
    <hyperlink r:id="rId54" ref="E293"/>
    <hyperlink r:id="rId55" ref="E297"/>
    <hyperlink r:id="rId56" ref="E299"/>
    <hyperlink r:id="rId57" ref="E300"/>
    <hyperlink r:id="rId58" ref="E301"/>
    <hyperlink r:id="rId59" ref="E304"/>
    <hyperlink r:id="rId60" ref="E307"/>
    <hyperlink r:id="rId61" ref="E308"/>
    <hyperlink r:id="rId62" ref="E353"/>
    <hyperlink r:id="rId63" ref="E355"/>
    <hyperlink r:id="rId64" ref="E356"/>
    <hyperlink r:id="rId65" ref="E360"/>
    <hyperlink r:id="rId66" ref="E371"/>
    <hyperlink r:id="rId67" ref="E390"/>
    <hyperlink r:id="rId68" ref="E392"/>
    <hyperlink r:id="rId69" ref="E400"/>
    <hyperlink r:id="rId70" ref="E401"/>
    <hyperlink r:id="rId71" ref="E403"/>
    <hyperlink r:id="rId72" ref="E405"/>
    <hyperlink r:id="rId73" ref="E406"/>
  </hyperlinks>
  <printOptions/>
  <pageMargins bottom="0.75" footer="0.0" header="0.0" left="0.7" right="0.7" top="0.75"/>
  <pageSetup orientation="landscape"/>
  <drawing r:id="rId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1.14"/>
    <col customWidth="1" min="5" max="6" width="15.43"/>
    <col customWidth="1" min="7" max="7" width="15.57"/>
    <col customWidth="1" min="9" max="9" width="15.86"/>
  </cols>
  <sheetData>
    <row r="2" ht="28.5" customHeight="1">
      <c r="F2" s="1" t="s">
        <v>0</v>
      </c>
    </row>
    <row r="3">
      <c r="C3" s="4" t="s">
        <v>2</v>
      </c>
      <c r="D3" s="6"/>
      <c r="E3" s="7" t="s">
        <v>3</v>
      </c>
      <c r="F3" s="7" t="s">
        <v>5</v>
      </c>
      <c r="G3" s="9"/>
    </row>
    <row r="4" ht="22.5" customHeight="1">
      <c r="C4" s="11"/>
      <c r="D4" s="13"/>
      <c r="E4" s="15">
        <v>46291.0</v>
      </c>
      <c r="F4" s="15">
        <v>46292.0</v>
      </c>
      <c r="G4" s="15" t="s">
        <v>14</v>
      </c>
    </row>
    <row r="5" ht="30.75" customHeight="1">
      <c r="C5" s="11"/>
      <c r="D5" s="18" t="s">
        <v>19</v>
      </c>
      <c r="E5" s="19" t="s">
        <v>20</v>
      </c>
      <c r="F5" s="21"/>
      <c r="G5" s="23" t="s">
        <v>22</v>
      </c>
    </row>
    <row r="6">
      <c r="C6" s="11"/>
      <c r="D6" s="11"/>
      <c r="E6" s="19" t="s">
        <v>24</v>
      </c>
      <c r="F6" s="25"/>
      <c r="G6" s="11"/>
    </row>
    <row r="7" ht="22.5" customHeight="1">
      <c r="C7" s="11"/>
      <c r="D7" s="26"/>
      <c r="E7" s="27"/>
      <c r="F7" s="21"/>
      <c r="G7" s="26"/>
    </row>
    <row r="8" ht="22.5" customHeight="1">
      <c r="C8" s="11"/>
      <c r="D8" s="28" t="s">
        <v>26</v>
      </c>
      <c r="E8" s="29"/>
      <c r="F8" s="29"/>
      <c r="G8" s="30" t="s">
        <v>22</v>
      </c>
    </row>
    <row r="9" ht="22.5" customHeight="1">
      <c r="C9" s="26"/>
      <c r="D9" s="31"/>
      <c r="E9" s="29"/>
      <c r="F9" s="29"/>
      <c r="G9" s="26"/>
    </row>
    <row r="12">
      <c r="C12" s="32" t="s">
        <v>27</v>
      </c>
      <c r="D12" s="9"/>
      <c r="E12" s="7" t="s">
        <v>28</v>
      </c>
      <c r="F12" s="7" t="s">
        <v>29</v>
      </c>
      <c r="G12" s="7" t="s">
        <v>30</v>
      </c>
      <c r="H12" s="7" t="s">
        <v>31</v>
      </c>
      <c r="I12" s="7" t="s">
        <v>32</v>
      </c>
      <c r="J12" s="9"/>
    </row>
    <row r="13" ht="26.25" customHeight="1">
      <c r="C13" s="11"/>
      <c r="D13" s="34" t="s">
        <v>19</v>
      </c>
      <c r="E13" s="15">
        <v>46293.0</v>
      </c>
      <c r="F13" s="15">
        <v>46294.0</v>
      </c>
      <c r="G13" s="15">
        <v>46295.0</v>
      </c>
      <c r="H13" s="15">
        <v>46296.0</v>
      </c>
      <c r="I13" s="15">
        <v>46297.0</v>
      </c>
      <c r="J13" s="13"/>
    </row>
    <row r="14" ht="30.0" customHeight="1">
      <c r="C14" s="11"/>
      <c r="D14" s="11"/>
      <c r="E14" s="37" t="s">
        <v>35</v>
      </c>
      <c r="F14" s="39" t="s">
        <v>37</v>
      </c>
      <c r="G14" s="40" t="s">
        <v>39</v>
      </c>
      <c r="H14" s="40" t="s">
        <v>40</v>
      </c>
      <c r="I14" s="40" t="s">
        <v>41</v>
      </c>
      <c r="J14" s="23" t="s">
        <v>22</v>
      </c>
    </row>
    <row r="15" ht="30.0" customHeight="1">
      <c r="C15" s="11"/>
      <c r="D15" s="11"/>
      <c r="E15" s="42" t="s">
        <v>42</v>
      </c>
      <c r="F15" s="43"/>
      <c r="G15" s="39" t="s">
        <v>43</v>
      </c>
      <c r="H15" s="44"/>
      <c r="I15" s="40" t="s">
        <v>44</v>
      </c>
      <c r="J15" s="11"/>
    </row>
    <row r="16" ht="30.0" customHeight="1">
      <c r="C16" s="11"/>
      <c r="D16" s="11"/>
      <c r="E16" s="45" t="s">
        <v>47</v>
      </c>
      <c r="F16" s="43"/>
      <c r="G16" s="39" t="s">
        <v>50</v>
      </c>
      <c r="H16" s="43"/>
      <c r="I16" s="45" t="s">
        <v>47</v>
      </c>
      <c r="J16" s="26"/>
    </row>
    <row r="17" ht="30.0" customHeight="1">
      <c r="C17" s="11"/>
      <c r="D17" s="11"/>
      <c r="E17" s="47" t="s">
        <v>52</v>
      </c>
      <c r="F17" s="48"/>
      <c r="G17" s="49"/>
      <c r="H17" s="47" t="s">
        <v>52</v>
      </c>
      <c r="I17" s="48"/>
      <c r="J17" s="50" t="s">
        <v>53</v>
      </c>
    </row>
    <row r="18" ht="30.0" customHeight="1">
      <c r="C18" s="11"/>
      <c r="D18" s="11"/>
      <c r="E18" s="51" t="s">
        <v>55</v>
      </c>
      <c r="F18" s="51" t="s">
        <v>55</v>
      </c>
      <c r="G18" s="51" t="s">
        <v>55</v>
      </c>
      <c r="H18" s="51" t="s">
        <v>55</v>
      </c>
      <c r="I18" s="51" t="s">
        <v>55</v>
      </c>
      <c r="J18" s="52" t="s">
        <v>57</v>
      </c>
    </row>
    <row r="19" ht="30.0" customHeight="1">
      <c r="C19" s="11"/>
      <c r="D19" s="26"/>
      <c r="E19" s="51" t="s">
        <v>59</v>
      </c>
      <c r="F19" s="51" t="s">
        <v>59</v>
      </c>
      <c r="G19" s="51" t="s">
        <v>59</v>
      </c>
      <c r="H19" s="51" t="s">
        <v>59</v>
      </c>
      <c r="I19" s="51" t="s">
        <v>59</v>
      </c>
      <c r="J19" s="26"/>
    </row>
    <row r="20" ht="30.0" customHeight="1">
      <c r="C20" s="11"/>
      <c r="D20" s="53" t="s">
        <v>26</v>
      </c>
      <c r="E20" s="54" t="s">
        <v>60</v>
      </c>
      <c r="F20" s="54" t="s">
        <v>61</v>
      </c>
      <c r="G20" s="54" t="s">
        <v>61</v>
      </c>
      <c r="H20" s="54" t="s">
        <v>39</v>
      </c>
      <c r="I20" s="54" t="s">
        <v>60</v>
      </c>
      <c r="J20" s="55" t="s">
        <v>22</v>
      </c>
    </row>
    <row r="21" ht="30.0" customHeight="1">
      <c r="C21" s="11"/>
      <c r="D21" s="11"/>
      <c r="E21" s="56" t="s">
        <v>63</v>
      </c>
      <c r="F21" s="57" t="s">
        <v>64</v>
      </c>
      <c r="G21" s="57" t="s">
        <v>65</v>
      </c>
      <c r="H21" s="58"/>
      <c r="I21" s="54" t="s">
        <v>67</v>
      </c>
      <c r="J21" s="11"/>
    </row>
    <row r="22" ht="30.0" customHeight="1">
      <c r="C22" s="26"/>
      <c r="D22" s="26"/>
      <c r="E22" s="29"/>
      <c r="F22" s="29"/>
      <c r="G22" s="29"/>
      <c r="H22" s="29"/>
      <c r="I22" s="29"/>
      <c r="J22" s="26"/>
    </row>
    <row r="26" ht="20.25" customHeight="1">
      <c r="G26" s="60" t="s">
        <v>70</v>
      </c>
    </row>
    <row r="27" ht="15.75" customHeight="1">
      <c r="C27" s="4" t="s">
        <v>72</v>
      </c>
      <c r="D27" s="9"/>
      <c r="E27" s="7" t="s">
        <v>28</v>
      </c>
      <c r="F27" s="7" t="s">
        <v>29</v>
      </c>
      <c r="G27" s="7" t="s">
        <v>30</v>
      </c>
      <c r="H27" s="7" t="s">
        <v>31</v>
      </c>
      <c r="I27" s="7" t="s">
        <v>32</v>
      </c>
      <c r="J27" s="9"/>
    </row>
    <row r="28" ht="17.25" customHeight="1">
      <c r="C28" s="11"/>
      <c r="D28" s="34" t="s">
        <v>19</v>
      </c>
      <c r="E28" s="62">
        <v>46293.0</v>
      </c>
      <c r="F28" s="62">
        <v>46294.0</v>
      </c>
      <c r="G28" s="62">
        <v>46295.0</v>
      </c>
      <c r="H28" s="62">
        <v>46296.0</v>
      </c>
      <c r="I28" s="62">
        <v>46297.0</v>
      </c>
      <c r="J28" s="63"/>
    </row>
    <row r="29">
      <c r="C29" s="11"/>
      <c r="D29" s="26"/>
      <c r="E29" s="64"/>
      <c r="F29" s="65" t="s">
        <v>76</v>
      </c>
      <c r="G29" s="66"/>
      <c r="H29" s="64"/>
      <c r="I29" s="64"/>
      <c r="J29" s="67" t="s">
        <v>22</v>
      </c>
    </row>
    <row r="30">
      <c r="C30" s="11"/>
      <c r="D30" s="53" t="s">
        <v>26</v>
      </c>
      <c r="E30" s="68" t="s">
        <v>78</v>
      </c>
      <c r="F30" s="68" t="s">
        <v>79</v>
      </c>
      <c r="G30" s="68" t="s">
        <v>79</v>
      </c>
      <c r="H30" s="68" t="s">
        <v>80</v>
      </c>
      <c r="I30" s="68" t="s">
        <v>81</v>
      </c>
      <c r="J30" s="69" t="s">
        <v>82</v>
      </c>
    </row>
    <row r="31">
      <c r="C31" s="11"/>
      <c r="D31" s="11"/>
      <c r="E31" s="70"/>
      <c r="F31" s="68" t="s">
        <v>85</v>
      </c>
      <c r="G31" s="68" t="s">
        <v>87</v>
      </c>
      <c r="H31" s="68" t="s">
        <v>88</v>
      </c>
      <c r="I31" s="68" t="s">
        <v>35</v>
      </c>
      <c r="J31" s="72"/>
    </row>
    <row r="32">
      <c r="C32" s="11"/>
      <c r="D32" s="11"/>
      <c r="E32" s="70"/>
      <c r="F32" s="68" t="s">
        <v>89</v>
      </c>
      <c r="G32" s="68" t="s">
        <v>90</v>
      </c>
      <c r="H32" s="68" t="s">
        <v>91</v>
      </c>
      <c r="I32" s="70"/>
      <c r="J32" s="72"/>
    </row>
    <row r="33">
      <c r="C33" s="11"/>
      <c r="D33" s="11"/>
      <c r="E33" s="70"/>
      <c r="F33" s="68" t="s">
        <v>93</v>
      </c>
      <c r="G33" s="70"/>
      <c r="H33" s="68" t="s">
        <v>94</v>
      </c>
      <c r="I33" s="70"/>
      <c r="J33" s="75"/>
    </row>
    <row r="34">
      <c r="C34" s="26"/>
      <c r="D34" s="26"/>
      <c r="E34" s="76"/>
      <c r="F34" s="77" t="s">
        <v>39</v>
      </c>
      <c r="G34" s="78" t="s">
        <v>99</v>
      </c>
      <c r="H34" s="76"/>
      <c r="I34" s="76"/>
      <c r="J34" s="79" t="s">
        <v>22</v>
      </c>
    </row>
    <row r="39" ht="23.25" customHeight="1">
      <c r="G39" s="60" t="s">
        <v>103</v>
      </c>
    </row>
    <row r="40">
      <c r="C40" s="32" t="s">
        <v>104</v>
      </c>
      <c r="D40" s="9"/>
      <c r="E40" s="7" t="s">
        <v>28</v>
      </c>
      <c r="F40" s="7" t="s">
        <v>29</v>
      </c>
      <c r="G40" s="7" t="s">
        <v>30</v>
      </c>
      <c r="H40" s="7" t="s">
        <v>31</v>
      </c>
      <c r="I40" s="7" t="s">
        <v>32</v>
      </c>
      <c r="J40" s="9"/>
    </row>
    <row r="41" ht="18.75" customHeight="1">
      <c r="C41" s="11"/>
      <c r="D41" s="34" t="s">
        <v>19</v>
      </c>
      <c r="E41" s="15">
        <v>46293.0</v>
      </c>
      <c r="F41" s="15">
        <v>46294.0</v>
      </c>
      <c r="G41" s="15">
        <v>46295.0</v>
      </c>
      <c r="H41" s="15">
        <v>46296.0</v>
      </c>
      <c r="I41" s="15">
        <v>46297.0</v>
      </c>
      <c r="J41" s="15" t="s">
        <v>14</v>
      </c>
    </row>
    <row r="42">
      <c r="C42" s="11"/>
      <c r="D42" s="11"/>
      <c r="E42" s="81"/>
      <c r="F42" s="81"/>
      <c r="G42" s="81"/>
      <c r="H42" s="82" t="s">
        <v>107</v>
      </c>
      <c r="I42" s="83"/>
      <c r="J42" s="84" t="s">
        <v>108</v>
      </c>
    </row>
    <row r="43">
      <c r="C43" s="11"/>
      <c r="D43" s="11"/>
      <c r="E43" s="85" t="s">
        <v>110</v>
      </c>
      <c r="F43" s="86"/>
      <c r="G43" s="86"/>
      <c r="H43" s="86"/>
      <c r="I43" s="87"/>
      <c r="J43" s="88" t="s">
        <v>116</v>
      </c>
    </row>
    <row r="44">
      <c r="C44" s="11"/>
      <c r="D44" s="26"/>
      <c r="E44" s="85" t="s">
        <v>117</v>
      </c>
      <c r="F44" s="86"/>
      <c r="G44" s="86"/>
      <c r="H44" s="86"/>
      <c r="I44" s="87"/>
      <c r="J44" s="26"/>
    </row>
    <row r="45">
      <c r="C45" s="11"/>
      <c r="D45" s="53" t="s">
        <v>26</v>
      </c>
      <c r="E45" s="91" t="s">
        <v>35</v>
      </c>
      <c r="F45" s="92"/>
      <c r="G45" s="92"/>
      <c r="H45" s="92"/>
      <c r="I45" s="92"/>
      <c r="J45" s="84" t="s">
        <v>108</v>
      </c>
    </row>
    <row r="46" ht="28.5" customHeight="1">
      <c r="C46" s="26"/>
      <c r="D46" s="26"/>
      <c r="E46" s="93"/>
      <c r="F46" s="93"/>
      <c r="G46" s="93"/>
      <c r="H46" s="93"/>
      <c r="I46" s="93"/>
      <c r="J46" s="95" t="s">
        <v>116</v>
      </c>
    </row>
  </sheetData>
  <mergeCells count="19">
    <mergeCell ref="J14:J16"/>
    <mergeCell ref="J18:J19"/>
    <mergeCell ref="J20:J22"/>
    <mergeCell ref="J30:J33"/>
    <mergeCell ref="J43:J44"/>
    <mergeCell ref="C12:C22"/>
    <mergeCell ref="C27:C34"/>
    <mergeCell ref="D28:D29"/>
    <mergeCell ref="D30:D34"/>
    <mergeCell ref="C40:C46"/>
    <mergeCell ref="D41:D44"/>
    <mergeCell ref="D45:D46"/>
    <mergeCell ref="C3:C9"/>
    <mergeCell ref="D5:D7"/>
    <mergeCell ref="G5:G7"/>
    <mergeCell ref="D8:D9"/>
    <mergeCell ref="G8:G9"/>
    <mergeCell ref="D13:D19"/>
    <mergeCell ref="D20:D2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2024-03-05T18:11:02Z</dcterms:created>
  <dc:creator>Hogar Bambi</dc:creator>
</cp:coreProperties>
</file>